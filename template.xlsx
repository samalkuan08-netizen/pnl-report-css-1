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Алия\Desktop\"/>
    </mc:Choice>
  </mc:AlternateContent>
  <xr:revisionPtr revIDLastSave="0" documentId="13_ncr:1_{69B4928B-B46E-4332-AF13-C5D617DAF8D5}" xr6:coauthVersionLast="47" xr6:coauthVersionMax="47" xr10:uidLastSave="{00000000-0000-0000-0000-000000000000}"/>
  <bookViews>
    <workbookView xWindow="-108" yWindow="-108" windowWidth="23256" windowHeight="12576" tabRatio="783" xr2:uid="{00000000-000D-0000-FFFF-FFFF00000000}"/>
  </bookViews>
  <sheets>
    <sheet name="Actual numbers 2026" sheetId="3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0" i="31" l="1"/>
  <c r="E120" i="31"/>
  <c r="C99" i="31"/>
  <c r="F11" i="31"/>
  <c r="C119" i="31"/>
  <c r="C110" i="31"/>
  <c r="O110" i="31" s="1"/>
  <c r="C108" i="31"/>
  <c r="O108" i="31" s="1"/>
  <c r="C114" i="31"/>
  <c r="O114" i="31" s="1"/>
  <c r="O85" i="31"/>
  <c r="O87" i="31"/>
  <c r="O81" i="31"/>
  <c r="O82" i="31"/>
  <c r="O89" i="31"/>
  <c r="O88" i="31"/>
  <c r="O86" i="31"/>
  <c r="O84" i="31"/>
  <c r="O83" i="31"/>
  <c r="O80" i="31"/>
  <c r="O79" i="31"/>
  <c r="O76" i="31"/>
  <c r="O75" i="31"/>
  <c r="O74" i="31"/>
  <c r="O7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53" i="31"/>
  <c r="O52" i="31"/>
  <c r="O51" i="31"/>
  <c r="O50" i="31"/>
  <c r="O49" i="31"/>
  <c r="O27" i="31"/>
  <c r="O25" i="31"/>
  <c r="O23" i="31"/>
  <c r="O14" i="31"/>
  <c r="O46" i="31"/>
  <c r="O70" i="31"/>
  <c r="O67" i="31"/>
  <c r="O68" i="31"/>
  <c r="O66" i="31"/>
  <c r="O60" i="31"/>
  <c r="O10" i="31"/>
  <c r="C5" i="31"/>
  <c r="C11" i="31" s="1"/>
  <c r="O132" i="31"/>
  <c r="O126" i="31"/>
  <c r="O125" i="31"/>
  <c r="O123" i="31"/>
  <c r="U122" i="31"/>
  <c r="O122" i="31"/>
  <c r="D120" i="31"/>
  <c r="G120" i="31"/>
  <c r="O118" i="31"/>
  <c r="O117" i="31"/>
  <c r="O116" i="31"/>
  <c r="O115" i="31"/>
  <c r="O113" i="31"/>
  <c r="O112" i="31"/>
  <c r="O111" i="31"/>
  <c r="L120" i="31"/>
  <c r="K120" i="31"/>
  <c r="J120" i="31"/>
  <c r="H120" i="31"/>
  <c r="I120" i="31"/>
  <c r="O106" i="31"/>
  <c r="O105" i="31"/>
  <c r="M120" i="31"/>
  <c r="O104" i="31"/>
  <c r="N120" i="31"/>
  <c r="O103" i="31"/>
  <c r="O102" i="31"/>
  <c r="O101" i="31"/>
  <c r="M99" i="31"/>
  <c r="L99" i="31"/>
  <c r="H99" i="31"/>
  <c r="G99" i="31"/>
  <c r="O98" i="31"/>
  <c r="O97" i="31"/>
  <c r="O96" i="31"/>
  <c r="O95" i="31"/>
  <c r="O94" i="31"/>
  <c r="J99" i="31"/>
  <c r="O92" i="31"/>
  <c r="O91" i="31"/>
  <c r="I99" i="31"/>
  <c r="O90" i="31"/>
  <c r="O72" i="31"/>
  <c r="O71" i="31"/>
  <c r="O69" i="31"/>
  <c r="O63" i="31"/>
  <c r="O61" i="31"/>
  <c r="O59" i="31"/>
  <c r="O58" i="31"/>
  <c r="O57" i="31"/>
  <c r="O54" i="31"/>
  <c r="O48" i="31"/>
  <c r="O47" i="31"/>
  <c r="O45" i="31"/>
  <c r="O44" i="31"/>
  <c r="O43" i="31"/>
  <c r="O26" i="31"/>
  <c r="O24" i="31"/>
  <c r="N99" i="31"/>
  <c r="O21" i="31"/>
  <c r="O20" i="31"/>
  <c r="O19" i="31"/>
  <c r="O18" i="31"/>
  <c r="O17" i="31"/>
  <c r="K99" i="31"/>
  <c r="O15" i="31"/>
  <c r="O13" i="31"/>
  <c r="N11" i="31"/>
  <c r="M11" i="31"/>
  <c r="L11" i="31"/>
  <c r="K11" i="31"/>
  <c r="J11" i="31"/>
  <c r="I11" i="31"/>
  <c r="H11" i="31"/>
  <c r="G11" i="31"/>
  <c r="E11" i="31"/>
  <c r="O9" i="31"/>
  <c r="O7" i="31"/>
  <c r="O6" i="31"/>
  <c r="O4" i="31"/>
  <c r="O3" i="31"/>
  <c r="C120" i="31" l="1"/>
  <c r="C129" i="31" s="1"/>
  <c r="D99" i="31"/>
  <c r="E99" i="31"/>
  <c r="E129" i="31" s="1"/>
  <c r="F99" i="31"/>
  <c r="F129" i="31" s="1"/>
  <c r="O62" i="31"/>
  <c r="D11" i="31"/>
  <c r="O5" i="31"/>
  <c r="O11" i="31" s="1"/>
  <c r="Q130" i="31" s="1"/>
  <c r="M129" i="31"/>
  <c r="L129" i="31"/>
  <c r="N129" i="31"/>
  <c r="K129" i="31"/>
  <c r="G129" i="31"/>
  <c r="H129" i="31"/>
  <c r="I129" i="31"/>
  <c r="J129" i="31"/>
  <c r="O22" i="31"/>
  <c r="O119" i="31"/>
  <c r="O109" i="31"/>
  <c r="O16" i="31"/>
  <c r="O107" i="31"/>
  <c r="O93" i="31"/>
  <c r="D129" i="31" l="1"/>
  <c r="O120" i="31"/>
  <c r="O99" i="31"/>
  <c r="O129" i="31" l="1"/>
</calcChain>
</file>

<file path=xl/sharedStrings.xml><?xml version="1.0" encoding="utf-8"?>
<sst xmlns="http://schemas.openxmlformats.org/spreadsheetml/2006/main" count="150" uniqueCount="109">
  <si>
    <t>Медицинские услуги</t>
  </si>
  <si>
    <t>Транспортные расходы</t>
  </si>
  <si>
    <t>Услуги связи</t>
  </si>
  <si>
    <t>Итого</t>
  </si>
  <si>
    <t>NCOC</t>
  </si>
  <si>
    <t>ДОХОД ОТ РЕАЛИЗАЦИИ</t>
  </si>
  <si>
    <t>ПРЯМЫЕ ЗАТРАТЫ</t>
  </si>
  <si>
    <t>Материальные затраты</t>
  </si>
  <si>
    <t>Питание персонала</t>
  </si>
  <si>
    <t>Административные расходы</t>
  </si>
  <si>
    <t>Обучение персонала</t>
  </si>
  <si>
    <t>Расходы по обслуж. банк. счета</t>
  </si>
  <si>
    <t>Командировочные расходы</t>
  </si>
  <si>
    <t>Прочие услуги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</si>
  <si>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</si>
  <si>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</si>
  <si>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</si>
  <si>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</si>
  <si>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</si>
  <si>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</si>
  <si>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</si>
  <si>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</si>
  <si>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</si>
  <si>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</si>
  <si>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</si>
  <si>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</si>
  <si>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Заработная плата</t>
  </si>
  <si>
    <t>ИТОГО</t>
  </si>
  <si>
    <t xml:space="preserve">ИТОГО </t>
  </si>
  <si>
    <t>Налогооблагаемый доход</t>
  </si>
  <si>
    <t>КПН 20%</t>
  </si>
  <si>
    <t>Прочие</t>
  </si>
  <si>
    <t>Прочие профессиональные услуги</t>
  </si>
  <si>
    <t>Услуги по страхованию</t>
  </si>
  <si>
    <t>Налоги и обяз. платежи по ЗП</t>
  </si>
  <si>
    <t>Предоставление персонала</t>
  </si>
  <si>
    <t>Jan De Nul</t>
  </si>
  <si>
    <t>Членские взносы</t>
  </si>
  <si>
    <t>Расходы по амортизации</t>
  </si>
  <si>
    <t>ИПН у источника 5%</t>
  </si>
  <si>
    <t>Аренда помещения</t>
  </si>
  <si>
    <t>Причальные расходы</t>
  </si>
  <si>
    <t>Прочие расходы</t>
  </si>
  <si>
    <t>Медицинские расходы</t>
  </si>
  <si>
    <t>Доходы от финансовой деятельности</t>
  </si>
  <si>
    <t>Прочие доходы</t>
  </si>
  <si>
    <t>Спонсорская помощь</t>
  </si>
  <si>
    <t>Jan De Nul: перевыставление расходов</t>
  </si>
  <si>
    <t>Jan De Nul: транспортные расходы</t>
  </si>
  <si>
    <t>OSG: BUE CHU</t>
  </si>
  <si>
    <t>OSG: BUE ILI</t>
  </si>
  <si>
    <t>Штокпром: аренда техники</t>
  </si>
  <si>
    <t>Доход от востановления убытка от обесценения (фин. аудит корр.)</t>
  </si>
  <si>
    <t>Налог на имущество и землю</t>
  </si>
  <si>
    <t>Затраты на питание на судне</t>
  </si>
  <si>
    <t>Расходы по ремонту с содержанию судна</t>
  </si>
  <si>
    <t>Caspian Marine: EVA</t>
  </si>
  <si>
    <t>North Caspian: Zaisan</t>
  </si>
  <si>
    <t>Налоги и обяз. платежи по ЗП Jan De Nul</t>
  </si>
  <si>
    <t>Затраты на проживание на судне</t>
  </si>
  <si>
    <t>LQB проживание</t>
  </si>
  <si>
    <t>LQB заработная плата</t>
  </si>
  <si>
    <t xml:space="preserve"> Основные средства</t>
  </si>
  <si>
    <t>NCOC  Zaisan</t>
  </si>
  <si>
    <t>NCOC IPS</t>
  </si>
  <si>
    <t>NCOC LQB</t>
  </si>
  <si>
    <t>OSG:Сом 6, Сом 7,Top 12</t>
  </si>
  <si>
    <t>Jan De Nul:</t>
  </si>
  <si>
    <t>Услуги инспекции</t>
  </si>
  <si>
    <t>Прочие проф услуги</t>
  </si>
  <si>
    <t>LQB:</t>
  </si>
  <si>
    <t>IPS:</t>
  </si>
  <si>
    <t>Денежные средства</t>
  </si>
  <si>
    <t>NCOC IBEEV</t>
  </si>
  <si>
    <t>Перевыставляемые расходы</t>
  </si>
  <si>
    <t>Заработная плата Jan De Nul</t>
  </si>
  <si>
    <t>LQB налоги по заработной плате</t>
  </si>
  <si>
    <t>Расходы по страхованию</t>
  </si>
  <si>
    <t>Расходы на проезд</t>
  </si>
  <si>
    <t>Материалы (списание) на проект</t>
  </si>
  <si>
    <t>Расходы на СИЗ</t>
  </si>
  <si>
    <t>Сом 6, Сом 7,Top 12: Flat Top Barges</t>
  </si>
  <si>
    <t>Причальные, страхование и прочие расходы</t>
  </si>
  <si>
    <t>Услуги экспертизы</t>
  </si>
  <si>
    <t>Bue Chu, Bue Ili,Eva: USDT</t>
  </si>
  <si>
    <t>Caspian Marine: Caspian Maria</t>
  </si>
  <si>
    <t>Зайсан: Survey Vessels(Long Term)</t>
  </si>
  <si>
    <t>Заработная плата Зайсан</t>
  </si>
  <si>
    <t>Налоги по заработной плате Зайсан</t>
  </si>
  <si>
    <t>Суточные</t>
  </si>
  <si>
    <t>Утилизация отходов</t>
  </si>
  <si>
    <t>Обучение сотрудников</t>
  </si>
  <si>
    <t>USDT Meric</t>
  </si>
  <si>
    <t>Расходы на проживание на судне</t>
  </si>
  <si>
    <t>NCOC:TULPAR</t>
  </si>
  <si>
    <t>IBEEV:</t>
  </si>
  <si>
    <t>IBEEV проживание</t>
  </si>
  <si>
    <t>IBEEV заработная плата</t>
  </si>
  <si>
    <t>IBEEV налоги по заработной плате</t>
  </si>
  <si>
    <t>Расходы по найму жилья</t>
  </si>
  <si>
    <t>Заработная плата Тулпар</t>
  </si>
  <si>
    <t>Налоги по заработной плате Тулпар</t>
  </si>
  <si>
    <t>North Caspian: TULPAR</t>
  </si>
  <si>
    <t>Перевыставление расходов</t>
  </si>
  <si>
    <t>Сервисные услуги</t>
  </si>
  <si>
    <t xml:space="preserve"> NCOC Сом 6, Сом 7,Top 12: Flat Top Barges</t>
  </si>
  <si>
    <t>NCOC Bue Chu, Bue Ili,Eva: USDT</t>
  </si>
  <si>
    <t>Списание материалов</t>
  </si>
  <si>
    <t>Аудиторские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</si>
</sst>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₸&quot;_-;\-* #,##0.00\ &quot;₸&quot;_-;_-* &quot;-&quot;??\ &quot;₸&quot;_-;_-@_-"/>
    <numFmt numFmtId="164" formatCode="_-* #,##0.00\ _₽_-;\-* #,##0.00\ _₽_-;_-* &quot;-&quot;??\ _₽_-;_-@_-"/>
    <numFmt numFmtId="165" formatCode="_-* #,##0.00_р_._-;\-* #,##0.00_р_._-;_-* &quot;-&quot;??_р_._-;_-@_-"/>
    <numFmt numFmtId="166" formatCode="#,##0.00;[Red]\(#,##0.00\)"/>
    <numFmt numFmtId="167" formatCode="_-[$$-409]* #,##0.00_ ;_-[$$-409]* \-#,##0.00\ ;_-[$$-409]* &quot;-&quot;??_ ;_-@_ "/>
    <numFmt numFmtId="168" formatCode="_-* #,##0.000\ _₽_-;\-* #,##0.000\ _₽_-;_-* &quot;-&quot;??\ _₽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i/>
      <sz val="11"/>
      <color theme="1"/>
      <name val="Calibri"/>
      <family val="2"/>
      <charset val="204"/>
      <scheme val="minor"/>
    </font>
    <font>
      <b/>
      <i/>
      <u val="singleAccounting"/>
      <sz val="11"/>
      <color theme="1"/>
      <name val="Calibri"/>
      <family val="2"/>
      <charset val="204"/>
      <scheme val="minor"/>
    </font>
    <font>
      <b/>
      <i/>
      <u val="singleAccounting"/>
      <sz val="1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i/>
      <sz val="11"/>
      <color rgb="FF00B050"/>
      <name val="Calibri"/>
      <family val="2"/>
      <charset val="204"/>
      <scheme val="minor"/>
    </font>
    <font>
      <b/>
      <i/>
      <u val="singleAccounting"/>
      <sz val="1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4">
    <xf numFmtId="0" fontId="0" fillId="0" borderId="0" xfId="0"/>
    <xf numFmtId="164" fontId="0" fillId="0" borderId="0" xfId="1" applyFont="1"/>
    <xf numFmtId="164" fontId="0" fillId="0" borderId="0" xfId="1" applyFont="1" applyAlignment="1">
      <alignment horizontal="right"/>
    </xf>
    <xf numFmtId="164" fontId="6" fillId="0" borderId="0" xfId="1" applyFont="1" applyAlignment="1">
      <alignment horizontal="right"/>
    </xf>
    <xf numFmtId="164" fontId="4" fillId="0" borderId="0" xfId="1" applyFont="1" applyAlignment="1">
      <alignment horizontal="right"/>
    </xf>
    <xf numFmtId="164" fontId="2" fillId="0" borderId="0" xfId="1" applyFont="1" applyAlignment="1">
      <alignment horizontal="right"/>
    </xf>
    <xf numFmtId="164" fontId="2" fillId="0" borderId="2" xfId="1" applyFont="1" applyBorder="1" applyAlignment="1">
      <alignment horizontal="right"/>
    </xf>
    <xf numFmtId="164" fontId="2" fillId="0" borderId="3" xfId="1" applyFont="1" applyBorder="1" applyAlignment="1">
      <alignment horizontal="right"/>
    </xf>
    <xf numFmtId="164" fontId="2" fillId="0" borderId="4" xfId="1" applyFont="1" applyBorder="1" applyAlignment="1">
      <alignment horizontal="right"/>
    </xf>
    <xf numFmtId="164" fontId="0" fillId="0" borderId="5" xfId="1" applyFont="1" applyBorder="1" applyAlignment="1">
      <alignment horizontal="right" wrapText="1"/>
    </xf>
    <xf numFmtId="164" fontId="2" fillId="0" borderId="0" xfId="1" applyFont="1"/>
    <xf numFmtId="164" fontId="2" fillId="0" borderId="6" xfId="1" applyFont="1" applyBorder="1" applyAlignment="1">
      <alignment horizontal="right"/>
    </xf>
    <xf numFmtId="164" fontId="4" fillId="2" borderId="0" xfId="1" applyFont="1" applyFill="1" applyAlignment="1">
      <alignment horizontal="right"/>
    </xf>
    <xf numFmtId="164" fontId="4" fillId="3" borderId="7" xfId="1" applyFont="1" applyFill="1" applyBorder="1" applyAlignment="1">
      <alignment horizontal="right" wrapText="1"/>
    </xf>
    <xf numFmtId="164" fontId="4" fillId="3" borderId="1" xfId="1" applyFont="1" applyFill="1" applyBorder="1" applyAlignment="1">
      <alignment horizontal="right" wrapText="1"/>
    </xf>
    <xf numFmtId="164" fontId="4" fillId="3" borderId="8" xfId="1" applyFont="1" applyFill="1" applyBorder="1" applyAlignment="1">
      <alignment horizontal="right" wrapText="1"/>
    </xf>
    <xf numFmtId="166" fontId="0" fillId="0" borderId="0" xfId="1" applyNumberFormat="1" applyFont="1"/>
    <xf numFmtId="164" fontId="9" fillId="0" borderId="0" xfId="1" applyFont="1" applyAlignment="1">
      <alignment horizontal="right"/>
    </xf>
    <xf numFmtId="164" fontId="1" fillId="0" borderId="0" xfId="1"/>
    <xf numFmtId="164" fontId="10" fillId="0" borderId="0" xfId="1" applyFont="1"/>
    <xf numFmtId="164" fontId="11" fillId="0" borderId="3" xfId="1" applyFont="1" applyBorder="1" applyAlignment="1">
      <alignment horizontal="right"/>
    </xf>
    <xf numFmtId="164" fontId="12" fillId="0" borderId="0" xfId="1" applyFont="1" applyAlignment="1">
      <alignment horizontal="right"/>
    </xf>
    <xf numFmtId="164" fontId="14" fillId="0" borderId="0" xfId="1" applyFont="1"/>
    <xf numFmtId="164" fontId="16" fillId="0" borderId="0" xfId="1" applyFont="1" applyAlignment="1">
      <alignment horizontal="right"/>
    </xf>
    <xf numFmtId="166" fontId="14" fillId="0" borderId="0" xfId="1" applyNumberFormat="1" applyFont="1"/>
    <xf numFmtId="164" fontId="14" fillId="0" borderId="0" xfId="1" applyFont="1" applyFill="1" applyAlignment="1">
      <alignment horizontal="right"/>
    </xf>
    <xf numFmtId="164" fontId="10" fillId="0" borderId="0" xfId="1" applyFont="1" applyFill="1" applyAlignment="1">
      <alignment horizontal="right"/>
    </xf>
    <xf numFmtId="167" fontId="17" fillId="0" borderId="0" xfId="12" applyNumberFormat="1" applyFont="1"/>
    <xf numFmtId="164" fontId="0" fillId="0" borderId="0" xfId="1" applyFont="1" applyFill="1" applyAlignment="1">
      <alignment horizontal="right"/>
    </xf>
    <xf numFmtId="164" fontId="2" fillId="0" borderId="6" xfId="1" applyFont="1" applyFill="1" applyBorder="1" applyAlignment="1">
      <alignment horizontal="right"/>
    </xf>
    <xf numFmtId="168" fontId="0" fillId="0" borderId="0" xfId="1" applyNumberFormat="1" applyFont="1"/>
    <xf numFmtId="164" fontId="1" fillId="0" borderId="0" xfId="1" applyFont="1" applyFill="1" applyAlignment="1">
      <alignment horizontal="right"/>
    </xf>
    <xf numFmtId="164" fontId="4" fillId="2" borderId="0" xfId="1" applyFont="1" applyFill="1" applyBorder="1" applyAlignment="1">
      <alignment horizontal="right"/>
    </xf>
    <xf numFmtId="164" fontId="1" fillId="0" borderId="0" xfId="1" applyFont="1" applyAlignment="1">
      <alignment horizontal="right"/>
    </xf>
    <xf numFmtId="10" fontId="0" fillId="0" borderId="0" xfId="11" applyNumberFormat="1" applyFont="1"/>
    <xf numFmtId="164" fontId="6" fillId="0" borderId="0" xfId="1" applyFont="1" applyFill="1" applyAlignment="1">
      <alignment horizontal="right"/>
    </xf>
    <xf numFmtId="164" fontId="15" fillId="0" borderId="3" xfId="1" applyFont="1" applyFill="1" applyBorder="1" applyAlignment="1">
      <alignment horizontal="right"/>
    </xf>
    <xf numFmtId="164" fontId="2" fillId="0" borderId="0" xfId="1" applyFont="1" applyBorder="1" applyAlignment="1">
      <alignment horizontal="right"/>
    </xf>
    <xf numFmtId="164" fontId="15" fillId="0" borderId="0" xfId="1" applyFont="1" applyBorder="1" applyAlignment="1">
      <alignment horizontal="right"/>
    </xf>
    <xf numFmtId="164" fontId="11" fillId="0" borderId="0" xfId="1" applyFont="1" applyBorder="1" applyAlignment="1">
      <alignment horizontal="right"/>
    </xf>
    <xf numFmtId="164" fontId="2" fillId="0" borderId="0" xfId="1" applyFont="1" applyBorder="1" applyAlignment="1">
      <alignment horizontal="left"/>
    </xf>
    <xf numFmtId="164" fontId="2" fillId="0" borderId="0" xfId="1" applyFont="1" applyAlignment="1">
      <alignment horizontal="left"/>
    </xf>
    <xf numFmtId="164" fontId="0" fillId="0" borderId="10" xfId="1" applyFont="1" applyBorder="1" applyAlignment="1">
      <alignment horizontal="right"/>
    </xf>
    <xf numFmtId="164" fontId="0" fillId="0" borderId="15" xfId="1" applyFont="1" applyBorder="1" applyAlignment="1">
      <alignment horizontal="right"/>
    </xf>
    <xf numFmtId="164" fontId="0" fillId="0" borderId="15" xfId="1" applyFont="1" applyFill="1" applyBorder="1" applyAlignment="1">
      <alignment horizontal="right"/>
    </xf>
    <xf numFmtId="164" fontId="1" fillId="0" borderId="15" xfId="1" applyFont="1" applyFill="1" applyBorder="1" applyAlignment="1">
      <alignment horizontal="right"/>
    </xf>
    <xf numFmtId="164" fontId="2" fillId="0" borderId="11" xfId="1" applyFont="1" applyBorder="1" applyAlignment="1">
      <alignment horizontal="right"/>
    </xf>
    <xf numFmtId="164" fontId="0" fillId="0" borderId="12" xfId="1" applyFont="1" applyBorder="1" applyAlignment="1">
      <alignment horizontal="right"/>
    </xf>
    <xf numFmtId="164" fontId="0" fillId="0" borderId="0" xfId="1" applyFont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164" fontId="1" fillId="0" borderId="0" xfId="1" applyFont="1" applyFill="1" applyBorder="1" applyAlignment="1">
      <alignment horizontal="right"/>
    </xf>
    <xf numFmtId="164" fontId="10" fillId="0" borderId="0" xfId="1" applyFont="1" applyFill="1" applyBorder="1" applyAlignment="1">
      <alignment horizontal="right"/>
    </xf>
    <xf numFmtId="164" fontId="2" fillId="0" borderId="9" xfId="1" applyFont="1" applyBorder="1" applyAlignment="1">
      <alignment horizontal="right"/>
    </xf>
    <xf numFmtId="164" fontId="0" fillId="0" borderId="13" xfId="1" applyFont="1" applyBorder="1" applyAlignment="1">
      <alignment horizontal="right"/>
    </xf>
    <xf numFmtId="164" fontId="0" fillId="0" borderId="16" xfId="1" applyFont="1" applyFill="1" applyBorder="1" applyAlignment="1">
      <alignment horizontal="right"/>
    </xf>
    <xf numFmtId="164" fontId="14" fillId="0" borderId="16" xfId="1" applyFont="1" applyBorder="1" applyAlignment="1">
      <alignment horizontal="right"/>
    </xf>
    <xf numFmtId="164" fontId="0" fillId="0" borderId="16" xfId="1" applyFont="1" applyBorder="1" applyAlignment="1">
      <alignment horizontal="right"/>
    </xf>
    <xf numFmtId="164" fontId="1" fillId="0" borderId="16" xfId="1" applyFont="1" applyFill="1" applyBorder="1" applyAlignment="1">
      <alignment horizontal="right"/>
    </xf>
    <xf numFmtId="164" fontId="2" fillId="0" borderId="14" xfId="1" applyFont="1" applyBorder="1" applyAlignment="1">
      <alignment horizontal="right"/>
    </xf>
    <xf numFmtId="164" fontId="0" fillId="0" borderId="16" xfId="1" applyFont="1" applyBorder="1"/>
    <xf numFmtId="164" fontId="0" fillId="0" borderId="0" xfId="1" applyFont="1" applyBorder="1"/>
    <xf numFmtId="164" fontId="14" fillId="0" borderId="15" xfId="1" applyFont="1" applyBorder="1" applyAlignment="1">
      <alignment horizontal="right"/>
    </xf>
    <xf numFmtId="164" fontId="14" fillId="0" borderId="0" xfId="1" applyFont="1" applyBorder="1" applyAlignment="1">
      <alignment horizontal="right"/>
    </xf>
    <xf numFmtId="164" fontId="14" fillId="0" borderId="0" xfId="1" applyFont="1" applyFill="1" applyBorder="1" applyAlignment="1">
      <alignment horizontal="right"/>
    </xf>
    <xf numFmtId="164" fontId="1" fillId="0" borderId="16" xfId="1" applyFont="1" applyFill="1" applyBorder="1"/>
    <xf numFmtId="164" fontId="14" fillId="0" borderId="15" xfId="1" applyFont="1" applyFill="1" applyBorder="1" applyAlignment="1">
      <alignment horizontal="right"/>
    </xf>
    <xf numFmtId="164" fontId="1" fillId="0" borderId="0" xfId="1" applyFont="1" applyFill="1" applyBorder="1"/>
    <xf numFmtId="164" fontId="0" fillId="0" borderId="16" xfId="1" applyFont="1" applyFill="1" applyBorder="1"/>
    <xf numFmtId="164" fontId="0" fillId="0" borderId="0" xfId="1" applyFont="1" applyFill="1" applyBorder="1"/>
    <xf numFmtId="164" fontId="13" fillId="0" borderId="0" xfId="1" applyFont="1" applyFill="1" applyAlignment="1">
      <alignment horizontal="right"/>
    </xf>
    <xf numFmtId="164" fontId="5" fillId="0" borderId="0" xfId="1" applyFont="1" applyFill="1" applyAlignment="1">
      <alignment horizontal="right"/>
    </xf>
    <xf numFmtId="164" fontId="17" fillId="0" borderId="11" xfId="1" applyFont="1" applyBorder="1" applyAlignment="1">
      <alignment horizontal="right"/>
    </xf>
    <xf numFmtId="164" fontId="18" fillId="0" borderId="10" xfId="1" applyFont="1" applyBorder="1" applyAlignment="1">
      <alignment horizontal="right"/>
    </xf>
    <xf numFmtId="164" fontId="18" fillId="0" borderId="15" xfId="1" applyFont="1" applyFill="1" applyBorder="1" applyAlignment="1">
      <alignment horizontal="right"/>
    </xf>
  </cellXfs>
  <cellStyles count="18">
    <cellStyle name="Comma 2" xfId="6" xr:uid="{00000000-0005-0000-0000-000001000000}"/>
    <cellStyle name="Comma 3" xfId="8" xr:uid="{00000000-0005-0000-0000-000002000000}"/>
    <cellStyle name="Comma 4" xfId="4" xr:uid="{00000000-0005-0000-0000-000003000000}"/>
    <cellStyle name="Comma 5" xfId="10" xr:uid="{00000000-0005-0000-0000-000038000000}"/>
    <cellStyle name="Currency 2" xfId="15" xr:uid="{4F44CFF0-A37C-4D2A-8EAC-50B27B8C9529}"/>
    <cellStyle name="Currency 2 2" xfId="17" xr:uid="{C1A02489-0D7B-4287-9136-468A73624B77}"/>
    <cellStyle name="Currency 3" xfId="16" xr:uid="{217BDAE1-468A-46C6-82B2-199D586FD77C}"/>
    <cellStyle name="Normal 2" xfId="5" xr:uid="{00000000-0005-0000-0000-000005000000}"/>
    <cellStyle name="Normal 3" xfId="13" xr:uid="{E1B0BCA8-65D4-48DA-A46D-FB72108DF973}"/>
    <cellStyle name="Normal_Estimated numbers 2020" xfId="14" xr:uid="{613DB3C6-825C-42A1-90EA-910B7C882687}"/>
    <cellStyle name="Percent 2" xfId="9" xr:uid="{00000000-0005-0000-0000-000006000000}"/>
    <cellStyle name="Денежный" xfId="12" builtinId="4"/>
    <cellStyle name="Обычный" xfId="0" builtinId="0"/>
    <cellStyle name="Обычный 2" xfId="3" xr:uid="{00000000-0005-0000-0000-000007000000}"/>
    <cellStyle name="Процентный" xfId="11" builtinId="5"/>
    <cellStyle name="Финансовый" xfId="1" builtinId="3"/>
    <cellStyle name="Финансовый 2" xfId="2" xr:uid="{00000000-0005-0000-0000-000009000000}"/>
    <cellStyle name="Финансовый 2 2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BC87-CC2C-48B9-A636-C5B5B3C70FE2}">
  <dimension ref="A1:U135"/>
  <sheetViews>
    <sheetView tabSelected="1" zoomScale="90" zoomScaleNormal="90"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A98" sqref="A98:XFD98"/>
    </sheetView>
  </sheetViews>
  <sheetFormatPr defaultColWidth="9.109375" defaultRowHeight="14.4" x14ac:dyDescent="0.3"/>
  <cols>
    <col min="1" max="1" width="32.88671875" style="1" customWidth="1"/>
    <col min="2" max="2" width="48.109375" style="1" customWidth="1"/>
    <col min="3" max="6" width="19.109375" style="1" customWidth="1"/>
    <col min="7" max="7" width="17.5546875" style="1" bestFit="1" customWidth="1"/>
    <col min="8" max="8" width="18.44140625" style="1" bestFit="1" customWidth="1"/>
    <col min="9" max="9" width="23" style="1" customWidth="1"/>
    <col min="10" max="10" width="18.44140625" style="1" bestFit="1" customWidth="1"/>
    <col min="11" max="11" width="23.109375" style="1" customWidth="1"/>
    <col min="12" max="12" width="18.44140625" style="1" bestFit="1" customWidth="1"/>
    <col min="13" max="13" width="20.44140625" style="22" customWidth="1"/>
    <col min="14" max="14" width="18.44140625" style="19" bestFit="1" customWidth="1"/>
    <col min="15" max="15" width="20.109375" style="10" bestFit="1" customWidth="1"/>
    <col min="16" max="16" width="9.109375" style="1"/>
    <col min="17" max="17" width="26.33203125" style="1" customWidth="1"/>
    <col min="18" max="18" width="27" style="1" customWidth="1"/>
    <col min="19" max="20" width="9.109375" style="1"/>
    <col min="21" max="21" width="22.33203125" style="1" customWidth="1"/>
    <col min="22" max="16384" width="9.109375" style="1"/>
  </cols>
  <sheetData>
    <row r="1" spans="1:15" ht="15" thickBot="1" x14ac:dyDescent="0.35">
      <c r="B1" s="5" t="s">
        <v>5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22" t="s">
        <v>24</v>
      </c>
      <c r="N1" s="22" t="s">
        <v>25</v>
      </c>
      <c r="O1" s="10" t="s">
        <v>27</v>
      </c>
    </row>
    <row r="2" spans="1:15" x14ac:dyDescent="0.3">
      <c r="B2" s="6" t="s">
        <v>4</v>
      </c>
      <c r="C2" s="7"/>
      <c r="D2" s="7"/>
      <c r="E2" s="7"/>
      <c r="F2" s="7"/>
      <c r="G2" s="7"/>
      <c r="H2" s="7"/>
      <c r="I2" s="7"/>
      <c r="J2" s="7"/>
      <c r="K2" s="7"/>
      <c r="L2" s="7"/>
      <c r="M2" s="36"/>
      <c r="N2" s="20"/>
      <c r="O2" s="8"/>
    </row>
    <row r="3" spans="1:15" x14ac:dyDescent="0.3">
      <c r="B3" s="9" t="s">
        <v>64</v>
      </c>
      <c r="C3" s="28">
        <v>1412513.76</v>
      </c>
      <c r="D3" s="28"/>
      <c r="E3" s="28"/>
      <c r="F3" s="28"/>
      <c r="G3" s="28"/>
      <c r="H3" s="28"/>
      <c r="I3" s="28"/>
      <c r="J3" s="28"/>
      <c r="K3" s="31"/>
      <c r="L3" s="31"/>
      <c r="M3" s="31"/>
      <c r="N3" s="31"/>
      <c r="O3" s="11">
        <f>SUM(C3:N3)</f>
        <v>1412513.76</v>
      </c>
    </row>
    <row r="4" spans="1:15" x14ac:dyDescent="0.3">
      <c r="B4" s="9" t="s">
        <v>63</v>
      </c>
      <c r="C4" s="28">
        <v>12425296</v>
      </c>
      <c r="D4" s="28"/>
      <c r="E4" s="28"/>
      <c r="F4" s="28"/>
      <c r="G4" s="28"/>
      <c r="H4" s="28"/>
      <c r="I4" s="28"/>
      <c r="J4" s="28"/>
      <c r="K4" s="31"/>
      <c r="L4" s="33"/>
      <c r="M4" s="31"/>
      <c r="N4" s="33"/>
      <c r="O4" s="29">
        <f>SUM(C4:N4)</f>
        <v>12425296</v>
      </c>
    </row>
    <row r="5" spans="1:15" x14ac:dyDescent="0.3">
      <c r="B5" s="9" t="s">
        <v>106</v>
      </c>
      <c r="C5" s="28">
        <f>59738814.08+67438795.06</f>
        <v>127177609.14</v>
      </c>
      <c r="D5" s="28"/>
      <c r="E5" s="28"/>
      <c r="F5" s="28"/>
      <c r="G5" s="28"/>
      <c r="H5" s="28"/>
      <c r="I5" s="28"/>
      <c r="J5" s="28"/>
      <c r="K5" s="31"/>
      <c r="L5" s="31"/>
      <c r="M5" s="31"/>
      <c r="N5" s="31"/>
      <c r="O5" s="29">
        <f t="shared" ref="O5:O7" si="0">SUM(C5:N5)</f>
        <v>127177609.14</v>
      </c>
    </row>
    <row r="6" spans="1:15" ht="20.399999999999999" customHeight="1" x14ac:dyDescent="0.3">
      <c r="B6" s="9" t="s">
        <v>105</v>
      </c>
      <c r="C6" s="28">
        <v>210453451</v>
      </c>
      <c r="D6" s="28"/>
      <c r="E6" s="28"/>
      <c r="F6" s="28"/>
      <c r="G6" s="28"/>
      <c r="H6" s="28"/>
      <c r="I6" s="28"/>
      <c r="J6" s="28"/>
      <c r="K6" s="31"/>
      <c r="L6" s="31"/>
      <c r="M6" s="31"/>
      <c r="N6" s="31"/>
      <c r="O6" s="29">
        <f t="shared" si="0"/>
        <v>210453451</v>
      </c>
    </row>
    <row r="7" spans="1:15" ht="20.399999999999999" customHeight="1" x14ac:dyDescent="0.3">
      <c r="B7" s="9" t="s">
        <v>65</v>
      </c>
      <c r="C7" s="28">
        <v>44460007.119999997</v>
      </c>
      <c r="D7" s="28"/>
      <c r="E7" s="28"/>
      <c r="F7" s="28"/>
      <c r="G7" s="28"/>
      <c r="H7" s="28"/>
      <c r="I7" s="28"/>
      <c r="J7" s="28"/>
      <c r="K7" s="31"/>
      <c r="L7" s="31"/>
      <c r="M7" s="31"/>
      <c r="N7" s="31"/>
      <c r="O7" s="29">
        <f t="shared" si="0"/>
        <v>44460007.119999997</v>
      </c>
    </row>
    <row r="8" spans="1:15" ht="20.399999999999999" customHeight="1" x14ac:dyDescent="0.3">
      <c r="B8" s="9" t="s">
        <v>73</v>
      </c>
      <c r="C8" s="28"/>
      <c r="D8" s="28"/>
      <c r="E8" s="28"/>
      <c r="F8" s="28"/>
      <c r="G8" s="28"/>
      <c r="H8" s="28"/>
      <c r="I8" s="28"/>
      <c r="J8" s="28"/>
      <c r="K8" s="31"/>
      <c r="L8" s="31"/>
      <c r="M8" s="31"/>
      <c r="N8" s="31"/>
      <c r="O8" s="29"/>
    </row>
    <row r="9" spans="1:15" ht="22.5" customHeight="1" x14ac:dyDescent="0.3">
      <c r="B9" s="9" t="s">
        <v>36</v>
      </c>
      <c r="C9" s="28">
        <v>19270208.449999999</v>
      </c>
      <c r="D9" s="28"/>
      <c r="E9" s="28"/>
      <c r="F9" s="28"/>
      <c r="G9" s="28"/>
      <c r="H9" s="28"/>
      <c r="I9" s="28"/>
      <c r="J9" s="28"/>
      <c r="K9" s="31"/>
      <c r="L9" s="31"/>
      <c r="M9" s="31"/>
      <c r="N9" s="31"/>
      <c r="O9" s="29">
        <f>SUM(C9:N9)</f>
        <v>19270208.449999999</v>
      </c>
    </row>
    <row r="10" spans="1:15" ht="22.5" customHeight="1" x14ac:dyDescent="0.3">
      <c r="B10" s="9" t="s">
        <v>45</v>
      </c>
      <c r="C10" s="28"/>
      <c r="D10" s="28"/>
      <c r="E10" s="28"/>
      <c r="F10" s="49"/>
      <c r="G10" s="28"/>
      <c r="H10" s="28"/>
      <c r="I10" s="28"/>
      <c r="J10" s="2"/>
      <c r="K10" s="33"/>
      <c r="L10" s="31"/>
      <c r="M10" s="26"/>
      <c r="N10" s="31"/>
      <c r="O10" s="29">
        <f>SUM(C10:N10)</f>
        <v>0</v>
      </c>
    </row>
    <row r="11" spans="1:15" ht="15" thickBot="1" x14ac:dyDescent="0.35">
      <c r="B11" s="13" t="s">
        <v>28</v>
      </c>
      <c r="C11" s="14">
        <f t="shared" ref="C11:O11" si="1">SUM(C3:C10)</f>
        <v>415199085.46999997</v>
      </c>
      <c r="D11" s="14">
        <f t="shared" si="1"/>
        <v>0</v>
      </c>
      <c r="E11" s="14">
        <f t="shared" si="1"/>
        <v>0</v>
      </c>
      <c r="F11" s="14">
        <f>SUM(F3:F10)</f>
        <v>0</v>
      </c>
      <c r="G11" s="14">
        <f t="shared" si="1"/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14">
        <f t="shared" si="1"/>
        <v>0</v>
      </c>
      <c r="N11" s="14">
        <f t="shared" si="1"/>
        <v>0</v>
      </c>
      <c r="O11" s="15">
        <f t="shared" si="1"/>
        <v>415199085.46999997</v>
      </c>
    </row>
    <row r="12" spans="1:15" x14ac:dyDescent="0.3">
      <c r="B12" s="37" t="s">
        <v>6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8"/>
      <c r="N12" s="39"/>
      <c r="O12" s="37"/>
    </row>
    <row r="13" spans="1:15" x14ac:dyDescent="0.3">
      <c r="A13" s="40" t="s">
        <v>86</v>
      </c>
      <c r="B13" s="42" t="s">
        <v>87</v>
      </c>
      <c r="C13" s="43">
        <v>3736227</v>
      </c>
      <c r="D13" s="43"/>
      <c r="E13" s="44"/>
      <c r="F13" s="44"/>
      <c r="G13" s="43"/>
      <c r="H13" s="43"/>
      <c r="I13" s="43"/>
      <c r="J13" s="44"/>
      <c r="K13" s="45"/>
      <c r="L13" s="45"/>
      <c r="M13" s="45"/>
      <c r="N13" s="45"/>
      <c r="O13" s="46">
        <f>SUM(C13:N13)</f>
        <v>3736227</v>
      </c>
    </row>
    <row r="14" spans="1:15" x14ac:dyDescent="0.3">
      <c r="B14" s="47" t="s">
        <v>88</v>
      </c>
      <c r="C14" s="48">
        <v>558436</v>
      </c>
      <c r="D14" s="48"/>
      <c r="E14" s="49"/>
      <c r="F14" s="49"/>
      <c r="G14" s="48"/>
      <c r="H14" s="48"/>
      <c r="I14" s="48"/>
      <c r="J14" s="49"/>
      <c r="K14" s="50"/>
      <c r="L14" s="50"/>
      <c r="M14" s="50"/>
      <c r="N14" s="50"/>
      <c r="O14" s="52">
        <f t="shared" ref="O14" si="2">SUM(C14:N14)</f>
        <v>558436</v>
      </c>
    </row>
    <row r="15" spans="1:15" x14ac:dyDescent="0.3">
      <c r="B15" s="47" t="s">
        <v>57</v>
      </c>
      <c r="C15" s="48">
        <v>3882905</v>
      </c>
      <c r="D15" s="48"/>
      <c r="E15" s="49"/>
      <c r="F15" s="49"/>
      <c r="G15" s="48"/>
      <c r="H15" s="48"/>
      <c r="I15" s="48"/>
      <c r="J15" s="49"/>
      <c r="K15" s="50"/>
      <c r="L15" s="50"/>
      <c r="M15" s="50"/>
      <c r="N15" s="50"/>
      <c r="O15" s="52">
        <f t="shared" ref="O15:O98" si="3">SUM(C15:N15)</f>
        <v>3882905</v>
      </c>
    </row>
    <row r="16" spans="1:15" x14ac:dyDescent="0.3">
      <c r="B16" s="47" t="s">
        <v>79</v>
      </c>
      <c r="C16" s="48"/>
      <c r="D16" s="48"/>
      <c r="E16" s="49"/>
      <c r="F16" s="49"/>
      <c r="G16" s="48"/>
      <c r="H16" s="48"/>
      <c r="I16" s="48"/>
      <c r="J16" s="49"/>
      <c r="K16" s="50"/>
      <c r="L16" s="50"/>
      <c r="M16" s="50"/>
      <c r="N16" s="50"/>
      <c r="O16" s="52">
        <f t="shared" si="3"/>
        <v>0</v>
      </c>
    </row>
    <row r="17" spans="1:15" x14ac:dyDescent="0.3">
      <c r="B17" s="47" t="s">
        <v>80</v>
      </c>
      <c r="C17" s="48"/>
      <c r="D17" s="48"/>
      <c r="E17" s="49"/>
      <c r="F17" s="49"/>
      <c r="G17" s="48"/>
      <c r="H17" s="48"/>
      <c r="I17" s="48"/>
      <c r="J17" s="49"/>
      <c r="K17" s="50"/>
      <c r="L17" s="50"/>
      <c r="M17" s="50"/>
      <c r="N17" s="50"/>
      <c r="O17" s="52">
        <f t="shared" si="3"/>
        <v>0</v>
      </c>
    </row>
    <row r="18" spans="1:15" x14ac:dyDescent="0.3">
      <c r="B18" s="47" t="s">
        <v>0</v>
      </c>
      <c r="C18" s="49"/>
      <c r="D18" s="49"/>
      <c r="E18" s="48"/>
      <c r="F18" s="49"/>
      <c r="G18" s="49"/>
      <c r="H18" s="49"/>
      <c r="I18" s="49"/>
      <c r="J18" s="49"/>
      <c r="K18" s="50"/>
      <c r="L18" s="50"/>
      <c r="M18" s="50"/>
      <c r="N18" s="51"/>
      <c r="O18" s="52">
        <f t="shared" si="3"/>
        <v>0</v>
      </c>
    </row>
    <row r="19" spans="1:15" x14ac:dyDescent="0.3">
      <c r="B19" s="47" t="s">
        <v>91</v>
      </c>
      <c r="C19" s="49"/>
      <c r="D19" s="62"/>
      <c r="E19" s="48"/>
      <c r="F19" s="49"/>
      <c r="G19" s="48"/>
      <c r="H19" s="48"/>
      <c r="I19" s="48"/>
      <c r="J19" s="49"/>
      <c r="K19" s="50"/>
      <c r="L19" s="50"/>
      <c r="M19" s="50"/>
      <c r="N19" s="50"/>
      <c r="O19" s="52">
        <f t="shared" si="3"/>
        <v>0</v>
      </c>
    </row>
    <row r="20" spans="1:15" x14ac:dyDescent="0.3">
      <c r="B20" s="47" t="s">
        <v>54</v>
      </c>
      <c r="C20" s="48">
        <v>844020.79</v>
      </c>
      <c r="D20" s="62"/>
      <c r="E20" s="48"/>
      <c r="F20" s="48"/>
      <c r="G20" s="48"/>
      <c r="H20" s="48"/>
      <c r="I20" s="48"/>
      <c r="J20" s="49"/>
      <c r="K20" s="50"/>
      <c r="L20" s="49"/>
      <c r="M20" s="50"/>
      <c r="N20" s="49"/>
      <c r="O20" s="52">
        <f t="shared" si="3"/>
        <v>844020.79</v>
      </c>
    </row>
    <row r="21" spans="1:15" x14ac:dyDescent="0.3">
      <c r="B21" s="47" t="s">
        <v>55</v>
      </c>
      <c r="C21" s="49"/>
      <c r="D21" s="62"/>
      <c r="E21" s="48"/>
      <c r="F21" s="48"/>
      <c r="G21" s="49"/>
      <c r="H21" s="49"/>
      <c r="I21" s="63"/>
      <c r="J21" s="63"/>
      <c r="K21" s="50"/>
      <c r="L21" s="50"/>
      <c r="M21" s="50"/>
      <c r="N21" s="50"/>
      <c r="O21" s="52">
        <f t="shared" si="3"/>
        <v>0</v>
      </c>
    </row>
    <row r="22" spans="1:15" x14ac:dyDescent="0.3">
      <c r="B22" s="47" t="s">
        <v>78</v>
      </c>
      <c r="C22" s="49">
        <v>53177.27</v>
      </c>
      <c r="D22" s="62"/>
      <c r="E22" s="48"/>
      <c r="F22" s="48"/>
      <c r="G22" s="49"/>
      <c r="H22" s="49"/>
      <c r="I22" s="63"/>
      <c r="J22" s="63"/>
      <c r="K22" s="50"/>
      <c r="L22" s="50"/>
      <c r="M22" s="50"/>
      <c r="N22" s="50"/>
      <c r="O22" s="52">
        <f t="shared" si="3"/>
        <v>53177.27</v>
      </c>
    </row>
    <row r="23" spans="1:15" x14ac:dyDescent="0.3">
      <c r="B23" s="47" t="s">
        <v>89</v>
      </c>
      <c r="C23" s="49">
        <v>168000</v>
      </c>
      <c r="D23" s="62"/>
      <c r="E23" s="48"/>
      <c r="F23" s="48"/>
      <c r="G23" s="49"/>
      <c r="H23" s="49"/>
      <c r="I23" s="63"/>
      <c r="J23" s="63"/>
      <c r="K23" s="50"/>
      <c r="L23" s="50"/>
      <c r="M23" s="50"/>
      <c r="N23" s="50"/>
      <c r="O23" s="52">
        <f t="shared" ref="O23" si="4">SUM(C23:N23)</f>
        <v>168000</v>
      </c>
    </row>
    <row r="24" spans="1:15" x14ac:dyDescent="0.3">
      <c r="B24" s="47" t="s">
        <v>2</v>
      </c>
      <c r="C24" s="49"/>
      <c r="D24" s="62"/>
      <c r="E24" s="48"/>
      <c r="F24" s="48"/>
      <c r="G24" s="49"/>
      <c r="H24" s="49"/>
      <c r="I24" s="63"/>
      <c r="J24" s="63"/>
      <c r="K24" s="50"/>
      <c r="L24" s="50"/>
      <c r="M24" s="50"/>
      <c r="N24" s="50"/>
      <c r="O24" s="52">
        <f t="shared" si="3"/>
        <v>0</v>
      </c>
    </row>
    <row r="25" spans="1:15" x14ac:dyDescent="0.3">
      <c r="B25" s="47" t="s">
        <v>90</v>
      </c>
      <c r="C25" s="49"/>
      <c r="D25" s="62"/>
      <c r="E25" s="48"/>
      <c r="F25" s="48"/>
      <c r="G25" s="49"/>
      <c r="H25" s="49"/>
      <c r="I25" s="63"/>
      <c r="J25" s="63"/>
      <c r="K25" s="50"/>
      <c r="L25" s="50"/>
      <c r="M25" s="50"/>
      <c r="N25" s="50"/>
      <c r="O25" s="52">
        <f t="shared" ref="O25" si="5">SUM(C25:N25)</f>
        <v>0</v>
      </c>
    </row>
    <row r="26" spans="1:15" x14ac:dyDescent="0.3">
      <c r="B26" s="47" t="s">
        <v>41</v>
      </c>
      <c r="C26" s="49">
        <v>1132156.8999999999</v>
      </c>
      <c r="D26" s="62"/>
      <c r="E26" s="48"/>
      <c r="F26" s="48"/>
      <c r="G26" s="49"/>
      <c r="H26" s="49"/>
      <c r="I26" s="63"/>
      <c r="J26" s="63"/>
      <c r="K26" s="50"/>
      <c r="L26" s="50"/>
      <c r="M26" s="50"/>
      <c r="N26" s="50"/>
      <c r="O26" s="52">
        <f t="shared" si="3"/>
        <v>1132156.8999999999</v>
      </c>
    </row>
    <row r="27" spans="1:15" x14ac:dyDescent="0.3">
      <c r="B27" s="53" t="s">
        <v>69</v>
      </c>
      <c r="C27" s="54">
        <v>43103.45</v>
      </c>
      <c r="D27" s="55"/>
      <c r="E27" s="56"/>
      <c r="F27" s="54"/>
      <c r="G27" s="56"/>
      <c r="H27" s="56"/>
      <c r="I27" s="56"/>
      <c r="J27" s="54"/>
      <c r="K27" s="57"/>
      <c r="L27" s="57"/>
      <c r="M27" s="57"/>
      <c r="N27" s="57"/>
      <c r="O27" s="58">
        <f t="shared" si="3"/>
        <v>43103.45</v>
      </c>
    </row>
    <row r="28" spans="1:15" x14ac:dyDescent="0.3">
      <c r="A28" s="40" t="s">
        <v>94</v>
      </c>
      <c r="B28" s="42" t="s">
        <v>100</v>
      </c>
      <c r="C28" s="43"/>
      <c r="D28" s="43"/>
      <c r="E28" s="44"/>
      <c r="F28" s="44"/>
      <c r="G28" s="43"/>
      <c r="H28" s="43"/>
      <c r="I28" s="43"/>
      <c r="J28" s="44"/>
      <c r="K28" s="45"/>
      <c r="L28" s="45"/>
      <c r="M28" s="45"/>
      <c r="N28" s="45"/>
      <c r="O28" s="46">
        <f>SUM(C28:N28)</f>
        <v>0</v>
      </c>
    </row>
    <row r="29" spans="1:15" x14ac:dyDescent="0.3">
      <c r="B29" s="47" t="s">
        <v>101</v>
      </c>
      <c r="C29" s="48"/>
      <c r="D29" s="48"/>
      <c r="E29" s="49"/>
      <c r="F29" s="49"/>
      <c r="G29" s="48"/>
      <c r="H29" s="48"/>
      <c r="I29" s="48"/>
      <c r="J29" s="49"/>
      <c r="K29" s="50"/>
      <c r="L29" s="50"/>
      <c r="M29" s="50"/>
      <c r="N29" s="50"/>
      <c r="O29" s="52">
        <f t="shared" ref="O29:O42" si="6">SUM(C29:N29)</f>
        <v>0</v>
      </c>
    </row>
    <row r="30" spans="1:15" x14ac:dyDescent="0.3">
      <c r="B30" s="47" t="s">
        <v>102</v>
      </c>
      <c r="C30" s="48"/>
      <c r="D30" s="48"/>
      <c r="E30" s="49"/>
      <c r="F30" s="49"/>
      <c r="G30" s="48"/>
      <c r="H30" s="48"/>
      <c r="I30" s="48"/>
      <c r="J30" s="49"/>
      <c r="K30" s="50"/>
      <c r="L30" s="50"/>
      <c r="M30" s="50"/>
      <c r="N30" s="50"/>
      <c r="O30" s="52">
        <f t="shared" si="6"/>
        <v>0</v>
      </c>
    </row>
    <row r="31" spans="1:15" x14ac:dyDescent="0.3">
      <c r="B31" s="47" t="s">
        <v>79</v>
      </c>
      <c r="C31" s="48"/>
      <c r="D31" s="48"/>
      <c r="E31" s="49"/>
      <c r="F31" s="49"/>
      <c r="G31" s="48"/>
      <c r="H31" s="48"/>
      <c r="I31" s="48"/>
      <c r="J31" s="49"/>
      <c r="K31" s="50"/>
      <c r="L31" s="50"/>
      <c r="M31" s="50"/>
      <c r="N31" s="50"/>
      <c r="O31" s="52">
        <f t="shared" si="6"/>
        <v>0</v>
      </c>
    </row>
    <row r="32" spans="1:15" x14ac:dyDescent="0.3">
      <c r="B32" s="47" t="s">
        <v>80</v>
      </c>
      <c r="C32" s="48"/>
      <c r="D32" s="48"/>
      <c r="E32" s="49"/>
      <c r="F32" s="49"/>
      <c r="G32" s="48"/>
      <c r="H32" s="48"/>
      <c r="I32" s="48"/>
      <c r="J32" s="49"/>
      <c r="K32" s="50"/>
      <c r="L32" s="50"/>
      <c r="M32" s="50"/>
      <c r="N32" s="50"/>
      <c r="O32" s="52">
        <f t="shared" si="6"/>
        <v>0</v>
      </c>
    </row>
    <row r="33" spans="1:15" x14ac:dyDescent="0.3">
      <c r="B33" s="47" t="s">
        <v>0</v>
      </c>
      <c r="C33" s="49"/>
      <c r="D33" s="49"/>
      <c r="E33" s="48"/>
      <c r="F33" s="49"/>
      <c r="G33" s="49"/>
      <c r="H33" s="49"/>
      <c r="I33" s="49"/>
      <c r="J33" s="49"/>
      <c r="K33" s="50"/>
      <c r="L33" s="50"/>
      <c r="M33" s="50"/>
      <c r="N33" s="51"/>
      <c r="O33" s="52">
        <f t="shared" si="6"/>
        <v>0</v>
      </c>
    </row>
    <row r="34" spans="1:15" x14ac:dyDescent="0.3">
      <c r="B34" s="47" t="s">
        <v>91</v>
      </c>
      <c r="C34" s="49"/>
      <c r="D34" s="62"/>
      <c r="E34" s="48"/>
      <c r="F34" s="49"/>
      <c r="G34" s="48"/>
      <c r="H34" s="48"/>
      <c r="I34" s="48"/>
      <c r="J34" s="49"/>
      <c r="K34" s="50"/>
      <c r="L34" s="50"/>
      <c r="M34" s="50"/>
      <c r="N34" s="50"/>
      <c r="O34" s="52">
        <f t="shared" si="6"/>
        <v>0</v>
      </c>
    </row>
    <row r="35" spans="1:15" x14ac:dyDescent="0.3">
      <c r="B35" s="47" t="s">
        <v>54</v>
      </c>
      <c r="C35" s="48"/>
      <c r="D35" s="62"/>
      <c r="E35" s="48"/>
      <c r="F35" s="48"/>
      <c r="G35" s="48"/>
      <c r="H35" s="48"/>
      <c r="I35" s="48"/>
      <c r="J35" s="49"/>
      <c r="K35" s="50"/>
      <c r="L35" s="49"/>
      <c r="M35" s="50"/>
      <c r="N35" s="49"/>
      <c r="O35" s="52">
        <f t="shared" si="6"/>
        <v>0</v>
      </c>
    </row>
    <row r="36" spans="1:15" x14ac:dyDescent="0.3">
      <c r="B36" s="47" t="s">
        <v>93</v>
      </c>
      <c r="C36" s="49"/>
      <c r="D36" s="62"/>
      <c r="E36" s="48"/>
      <c r="F36" s="48"/>
      <c r="G36" s="49"/>
      <c r="H36" s="49"/>
      <c r="I36" s="63"/>
      <c r="J36" s="63"/>
      <c r="K36" s="50"/>
      <c r="L36" s="50"/>
      <c r="M36" s="50"/>
      <c r="N36" s="50"/>
      <c r="O36" s="52">
        <f t="shared" si="6"/>
        <v>0</v>
      </c>
    </row>
    <row r="37" spans="1:15" x14ac:dyDescent="0.3">
      <c r="B37" s="47" t="s">
        <v>78</v>
      </c>
      <c r="C37" s="49"/>
      <c r="D37" s="62"/>
      <c r="E37" s="48"/>
      <c r="F37" s="48"/>
      <c r="G37" s="49"/>
      <c r="H37" s="49"/>
      <c r="I37" s="63"/>
      <c r="J37" s="63"/>
      <c r="K37" s="50"/>
      <c r="L37" s="50"/>
      <c r="M37" s="50"/>
      <c r="N37" s="50"/>
      <c r="O37" s="52">
        <f t="shared" si="6"/>
        <v>0</v>
      </c>
    </row>
    <row r="38" spans="1:15" x14ac:dyDescent="0.3">
      <c r="B38" s="47" t="s">
        <v>89</v>
      </c>
      <c r="C38" s="49"/>
      <c r="D38" s="62"/>
      <c r="E38" s="48"/>
      <c r="F38" s="48"/>
      <c r="G38" s="49"/>
      <c r="H38" s="49"/>
      <c r="I38" s="63"/>
      <c r="J38" s="63"/>
      <c r="K38" s="50"/>
      <c r="L38" s="50"/>
      <c r="M38" s="50"/>
      <c r="N38" s="50"/>
      <c r="O38" s="52">
        <f t="shared" si="6"/>
        <v>0</v>
      </c>
    </row>
    <row r="39" spans="1:15" x14ac:dyDescent="0.3">
      <c r="B39" s="47" t="s">
        <v>2</v>
      </c>
      <c r="C39" s="49"/>
      <c r="D39" s="62"/>
      <c r="E39" s="48"/>
      <c r="F39" s="48"/>
      <c r="G39" s="49"/>
      <c r="H39" s="49"/>
      <c r="I39" s="63"/>
      <c r="J39" s="63"/>
      <c r="K39" s="50"/>
      <c r="L39" s="50"/>
      <c r="M39" s="50"/>
      <c r="N39" s="50"/>
      <c r="O39" s="52">
        <f t="shared" si="6"/>
        <v>0</v>
      </c>
    </row>
    <row r="40" spans="1:15" x14ac:dyDescent="0.3">
      <c r="B40" s="47" t="s">
        <v>90</v>
      </c>
      <c r="C40" s="49"/>
      <c r="D40" s="62"/>
      <c r="E40" s="48"/>
      <c r="F40" s="48"/>
      <c r="G40" s="49"/>
      <c r="H40" s="49"/>
      <c r="I40" s="63"/>
      <c r="J40" s="63"/>
      <c r="K40" s="50"/>
      <c r="L40" s="50"/>
      <c r="M40" s="50"/>
      <c r="N40" s="50"/>
      <c r="O40" s="52">
        <f t="shared" si="6"/>
        <v>0</v>
      </c>
    </row>
    <row r="41" spans="1:15" x14ac:dyDescent="0.3">
      <c r="B41" s="47" t="s">
        <v>41</v>
      </c>
      <c r="C41" s="49"/>
      <c r="D41" s="62"/>
      <c r="E41" s="48"/>
      <c r="F41" s="48"/>
      <c r="G41" s="49"/>
      <c r="H41" s="49"/>
      <c r="I41" s="63"/>
      <c r="J41" s="63"/>
      <c r="K41" s="50"/>
      <c r="L41" s="50"/>
      <c r="M41" s="50"/>
      <c r="N41" s="50"/>
      <c r="O41" s="52">
        <f t="shared" si="6"/>
        <v>0</v>
      </c>
    </row>
    <row r="42" spans="1:15" x14ac:dyDescent="0.3">
      <c r="B42" s="53" t="s">
        <v>69</v>
      </c>
      <c r="C42" s="54"/>
      <c r="D42" s="55"/>
      <c r="E42" s="56"/>
      <c r="F42" s="54"/>
      <c r="G42" s="56"/>
      <c r="H42" s="56"/>
      <c r="I42" s="56"/>
      <c r="J42" s="54"/>
      <c r="K42" s="57"/>
      <c r="L42" s="57"/>
      <c r="M42" s="57"/>
      <c r="N42" s="57"/>
      <c r="O42" s="58">
        <f t="shared" si="6"/>
        <v>0</v>
      </c>
    </row>
    <row r="43" spans="1:15" x14ac:dyDescent="0.3">
      <c r="A43" s="41" t="s">
        <v>84</v>
      </c>
      <c r="B43" s="42" t="s">
        <v>49</v>
      </c>
      <c r="C43" s="43"/>
      <c r="D43" s="43"/>
      <c r="E43" s="44"/>
      <c r="F43" s="44"/>
      <c r="G43" s="43"/>
      <c r="H43" s="43"/>
      <c r="I43" s="43"/>
      <c r="J43" s="44"/>
      <c r="K43" s="45"/>
      <c r="L43" s="45"/>
      <c r="M43" s="45"/>
      <c r="N43" s="45"/>
      <c r="O43" s="46">
        <f t="shared" si="3"/>
        <v>0</v>
      </c>
    </row>
    <row r="44" spans="1:15" x14ac:dyDescent="0.3">
      <c r="B44" s="47" t="s">
        <v>50</v>
      </c>
      <c r="C44" s="48"/>
      <c r="D44" s="48"/>
      <c r="E44" s="49"/>
      <c r="F44" s="49"/>
      <c r="G44" s="48"/>
      <c r="H44" s="48"/>
      <c r="I44" s="48"/>
      <c r="J44" s="49"/>
      <c r="K44" s="50"/>
      <c r="L44" s="50"/>
      <c r="M44" s="50"/>
      <c r="N44" s="50"/>
      <c r="O44" s="52">
        <f t="shared" si="3"/>
        <v>0</v>
      </c>
    </row>
    <row r="45" spans="1:15" x14ac:dyDescent="0.3">
      <c r="B45" s="47" t="s">
        <v>56</v>
      </c>
      <c r="C45" s="48">
        <v>63679642</v>
      </c>
      <c r="D45" s="48"/>
      <c r="E45" s="49"/>
      <c r="F45" s="49"/>
      <c r="G45" s="48"/>
      <c r="H45" s="48"/>
      <c r="I45" s="48"/>
      <c r="J45" s="49"/>
      <c r="K45" s="49"/>
      <c r="L45" s="50"/>
      <c r="M45" s="50"/>
      <c r="N45" s="50"/>
      <c r="O45" s="52">
        <f t="shared" si="3"/>
        <v>63679642</v>
      </c>
    </row>
    <row r="46" spans="1:15" x14ac:dyDescent="0.3">
      <c r="B46" s="47" t="s">
        <v>85</v>
      </c>
      <c r="C46" s="48"/>
      <c r="D46" s="48"/>
      <c r="E46" s="49"/>
      <c r="F46" s="49"/>
      <c r="G46" s="48"/>
      <c r="H46" s="48"/>
      <c r="I46" s="48"/>
      <c r="J46" s="49"/>
      <c r="K46" s="49"/>
      <c r="L46" s="50"/>
      <c r="M46" s="50"/>
      <c r="N46" s="50"/>
      <c r="O46" s="52">
        <f t="shared" ref="O46" si="7">SUM(C46:N46)</f>
        <v>0</v>
      </c>
    </row>
    <row r="47" spans="1:15" x14ac:dyDescent="0.3">
      <c r="B47" s="47" t="s">
        <v>41</v>
      </c>
      <c r="C47" s="60">
        <v>224628.95</v>
      </c>
      <c r="D47" s="60"/>
      <c r="E47" s="60"/>
      <c r="F47" s="60"/>
      <c r="G47" s="60"/>
      <c r="H47" s="60"/>
      <c r="I47" s="60"/>
      <c r="J47" s="68"/>
      <c r="K47" s="68"/>
      <c r="L47" s="68"/>
      <c r="M47" s="68"/>
      <c r="N47" s="68"/>
      <c r="O47" s="52">
        <f t="shared" si="3"/>
        <v>224628.95</v>
      </c>
    </row>
    <row r="48" spans="1:15" x14ac:dyDescent="0.3">
      <c r="B48" s="53" t="s">
        <v>59</v>
      </c>
      <c r="C48" s="56"/>
      <c r="D48" s="55"/>
      <c r="E48" s="56"/>
      <c r="F48" s="56"/>
      <c r="G48" s="56"/>
      <c r="H48" s="56"/>
      <c r="I48" s="56"/>
      <c r="J48" s="54"/>
      <c r="K48" s="57"/>
      <c r="L48" s="54"/>
      <c r="M48" s="57"/>
      <c r="N48" s="57"/>
      <c r="O48" s="58">
        <f t="shared" si="3"/>
        <v>0</v>
      </c>
    </row>
    <row r="49" spans="1:15" x14ac:dyDescent="0.3">
      <c r="A49" s="41" t="s">
        <v>92</v>
      </c>
      <c r="B49" s="42"/>
      <c r="C49" s="43"/>
      <c r="D49" s="43"/>
      <c r="E49" s="44"/>
      <c r="F49" s="44"/>
      <c r="G49" s="43"/>
      <c r="H49" s="43"/>
      <c r="I49" s="43"/>
      <c r="J49" s="44"/>
      <c r="K49" s="45"/>
      <c r="L49" s="45"/>
      <c r="M49" s="45"/>
      <c r="N49" s="45"/>
      <c r="O49" s="46">
        <f t="shared" ref="O49:O53" si="8">SUM(C49:N49)</f>
        <v>0</v>
      </c>
    </row>
    <row r="50" spans="1:15" x14ac:dyDescent="0.3">
      <c r="B50" s="47" t="s">
        <v>93</v>
      </c>
      <c r="C50" s="48"/>
      <c r="D50" s="48"/>
      <c r="E50" s="49"/>
      <c r="F50" s="49"/>
      <c r="G50" s="48"/>
      <c r="H50" s="48"/>
      <c r="I50" s="48"/>
      <c r="J50" s="49"/>
      <c r="K50" s="49"/>
      <c r="L50" s="50"/>
      <c r="M50" s="50"/>
      <c r="N50" s="50"/>
      <c r="O50" s="52">
        <f t="shared" si="8"/>
        <v>0</v>
      </c>
    </row>
    <row r="51" spans="1:15" x14ac:dyDescent="0.3">
      <c r="B51" s="47" t="s">
        <v>69</v>
      </c>
      <c r="C51" s="48"/>
      <c r="D51" s="48"/>
      <c r="E51" s="49"/>
      <c r="F51" s="49"/>
      <c r="G51" s="48"/>
      <c r="H51" s="48"/>
      <c r="I51" s="48"/>
      <c r="J51" s="49"/>
      <c r="K51" s="49"/>
      <c r="L51" s="50"/>
      <c r="M51" s="50"/>
      <c r="N51" s="50"/>
      <c r="O51" s="52">
        <f t="shared" si="8"/>
        <v>0</v>
      </c>
    </row>
    <row r="52" spans="1:15" x14ac:dyDescent="0.3">
      <c r="B52" s="47" t="s">
        <v>41</v>
      </c>
      <c r="C52" s="60"/>
      <c r="D52" s="60"/>
      <c r="E52" s="60"/>
      <c r="F52" s="60"/>
      <c r="G52" s="60"/>
      <c r="H52" s="60"/>
      <c r="I52" s="60"/>
      <c r="J52" s="68"/>
      <c r="K52" s="68"/>
      <c r="L52" s="68"/>
      <c r="M52" s="68"/>
      <c r="N52" s="68"/>
      <c r="O52" s="52">
        <f t="shared" si="8"/>
        <v>0</v>
      </c>
    </row>
    <row r="53" spans="1:15" x14ac:dyDescent="0.3">
      <c r="B53" s="53" t="s">
        <v>54</v>
      </c>
      <c r="C53" s="56"/>
      <c r="D53" s="55"/>
      <c r="E53" s="56"/>
      <c r="F53" s="56"/>
      <c r="G53" s="56"/>
      <c r="H53" s="56"/>
      <c r="I53" s="56"/>
      <c r="J53" s="54"/>
      <c r="K53" s="57"/>
      <c r="L53" s="54"/>
      <c r="M53" s="57"/>
      <c r="N53" s="57"/>
      <c r="O53" s="58">
        <f t="shared" si="8"/>
        <v>0</v>
      </c>
    </row>
    <row r="54" spans="1:15" x14ac:dyDescent="0.3">
      <c r="A54" s="10" t="s">
        <v>81</v>
      </c>
      <c r="B54" s="42" t="s">
        <v>66</v>
      </c>
      <c r="C54" s="44"/>
      <c r="D54" s="44"/>
      <c r="E54" s="43"/>
      <c r="F54" s="44"/>
      <c r="G54" s="44"/>
      <c r="H54" s="44"/>
      <c r="I54" s="44"/>
      <c r="J54" s="44"/>
      <c r="K54" s="45"/>
      <c r="L54" s="45"/>
      <c r="M54" s="45"/>
      <c r="N54" s="45"/>
      <c r="O54" s="46">
        <f t="shared" si="3"/>
        <v>0</v>
      </c>
    </row>
    <row r="55" spans="1:15" x14ac:dyDescent="0.3">
      <c r="A55" s="10"/>
      <c r="B55" s="47" t="s">
        <v>40</v>
      </c>
      <c r="C55" s="49">
        <v>375000</v>
      </c>
      <c r="D55" s="49"/>
      <c r="E55" s="48"/>
      <c r="F55" s="49"/>
      <c r="G55" s="49"/>
      <c r="H55" s="49"/>
      <c r="I55" s="49"/>
      <c r="J55" s="49"/>
      <c r="K55" s="50"/>
      <c r="L55" s="50"/>
      <c r="M55" s="50"/>
      <c r="N55" s="50"/>
      <c r="O55" s="52"/>
    </row>
    <row r="56" spans="1:15" x14ac:dyDescent="0.3">
      <c r="A56" s="10"/>
      <c r="B56" s="47" t="s">
        <v>83</v>
      </c>
      <c r="C56" s="49"/>
      <c r="D56" s="49"/>
      <c r="E56" s="48"/>
      <c r="F56" s="49"/>
      <c r="G56" s="49"/>
      <c r="H56" s="49"/>
      <c r="I56" s="49"/>
      <c r="J56" s="49"/>
      <c r="K56" s="50"/>
      <c r="L56" s="50"/>
      <c r="M56" s="50"/>
      <c r="N56" s="50"/>
      <c r="O56" s="52"/>
    </row>
    <row r="57" spans="1:15" x14ac:dyDescent="0.3">
      <c r="B57" s="53" t="s">
        <v>82</v>
      </c>
      <c r="C57" s="59"/>
      <c r="D57" s="59"/>
      <c r="E57" s="59"/>
      <c r="F57" s="59"/>
      <c r="G57" s="59"/>
      <c r="H57" s="59"/>
      <c r="I57" s="59"/>
      <c r="J57" s="59"/>
      <c r="K57" s="59"/>
      <c r="L57" s="67"/>
      <c r="M57" s="67"/>
      <c r="N57" s="67"/>
      <c r="O57" s="58">
        <f t="shared" si="3"/>
        <v>0</v>
      </c>
    </row>
    <row r="58" spans="1:15" x14ac:dyDescent="0.3">
      <c r="A58" s="10" t="s">
        <v>70</v>
      </c>
      <c r="B58" s="42" t="s">
        <v>60</v>
      </c>
      <c r="C58" s="44">
        <v>4503400</v>
      </c>
      <c r="D58" s="61"/>
      <c r="E58" s="43"/>
      <c r="F58" s="43"/>
      <c r="G58" s="44"/>
      <c r="H58" s="44"/>
      <c r="I58" s="44"/>
      <c r="J58" s="43"/>
      <c r="K58" s="45"/>
      <c r="L58" s="45"/>
      <c r="M58" s="45"/>
      <c r="N58" s="45"/>
      <c r="O58" s="46">
        <f t="shared" si="3"/>
        <v>4503400</v>
      </c>
    </row>
    <row r="59" spans="1:15" x14ac:dyDescent="0.3">
      <c r="B59" s="47" t="s">
        <v>61</v>
      </c>
      <c r="C59" s="49">
        <v>37498936</v>
      </c>
      <c r="D59" s="62"/>
      <c r="E59" s="48"/>
      <c r="F59" s="48"/>
      <c r="G59" s="49"/>
      <c r="H59" s="49"/>
      <c r="I59" s="49"/>
      <c r="J59" s="48"/>
      <c r="K59" s="50"/>
      <c r="L59" s="50"/>
      <c r="M59" s="50"/>
      <c r="N59" s="50"/>
      <c r="O59" s="52">
        <f t="shared" si="3"/>
        <v>37498936</v>
      </c>
    </row>
    <row r="60" spans="1:15" x14ac:dyDescent="0.3">
      <c r="B60" s="47" t="s">
        <v>76</v>
      </c>
      <c r="C60" s="49">
        <v>4319717</v>
      </c>
      <c r="E60" s="48"/>
      <c r="F60" s="48"/>
      <c r="G60" s="49"/>
      <c r="H60" s="49"/>
      <c r="I60" s="49"/>
      <c r="J60" s="48"/>
      <c r="K60" s="50"/>
      <c r="L60" s="50"/>
      <c r="M60" s="50"/>
      <c r="N60" s="50"/>
      <c r="O60" s="52">
        <f t="shared" ref="O60" si="9">SUM(C60:N60)</f>
        <v>4319717</v>
      </c>
    </row>
    <row r="61" spans="1:15" x14ac:dyDescent="0.3">
      <c r="B61" s="47" t="s">
        <v>12</v>
      </c>
      <c r="C61" s="49">
        <v>529999.64</v>
      </c>
      <c r="D61" s="62"/>
      <c r="E61" s="48"/>
      <c r="F61" s="48"/>
      <c r="G61" s="49"/>
      <c r="H61" s="49"/>
      <c r="I61" s="49"/>
      <c r="J61" s="48"/>
      <c r="K61" s="50"/>
      <c r="L61" s="50"/>
      <c r="M61" s="50"/>
      <c r="N61" s="50"/>
      <c r="O61" s="52">
        <f t="shared" si="3"/>
        <v>529999.64</v>
      </c>
    </row>
    <row r="62" spans="1:15" x14ac:dyDescent="0.3">
      <c r="B62" s="47" t="s">
        <v>74</v>
      </c>
      <c r="C62" s="49">
        <v>803544.63</v>
      </c>
      <c r="D62" s="62"/>
      <c r="E62" s="48"/>
      <c r="F62" s="48"/>
      <c r="G62" s="49"/>
      <c r="H62" s="49"/>
      <c r="I62" s="49"/>
      <c r="J62" s="48"/>
      <c r="K62" s="50"/>
      <c r="L62" s="50"/>
      <c r="M62" s="50"/>
      <c r="N62" s="50"/>
      <c r="O62" s="52">
        <f t="shared" si="3"/>
        <v>803544.63</v>
      </c>
    </row>
    <row r="63" spans="1:15" x14ac:dyDescent="0.3">
      <c r="B63" s="47" t="s">
        <v>7</v>
      </c>
      <c r="C63" s="49"/>
      <c r="D63" s="62"/>
      <c r="E63" s="48"/>
      <c r="F63" s="48"/>
      <c r="G63" s="49"/>
      <c r="H63" s="49"/>
      <c r="I63" s="49"/>
      <c r="J63" s="48"/>
      <c r="K63" s="50"/>
      <c r="L63" s="50"/>
      <c r="M63" s="50"/>
      <c r="N63" s="50"/>
      <c r="O63" s="52">
        <f t="shared" si="3"/>
        <v>0</v>
      </c>
    </row>
    <row r="64" spans="1:15" x14ac:dyDescent="0.3">
      <c r="B64" s="47" t="s">
        <v>43</v>
      </c>
      <c r="C64" s="49">
        <v>1096595.24</v>
      </c>
      <c r="D64" s="62"/>
      <c r="E64" s="48"/>
      <c r="F64" s="48"/>
      <c r="G64" s="49"/>
      <c r="H64" s="49"/>
      <c r="I64" s="49"/>
      <c r="J64" s="48"/>
      <c r="K64" s="50"/>
      <c r="L64" s="50"/>
      <c r="M64" s="50"/>
      <c r="N64" s="50"/>
      <c r="O64" s="52"/>
    </row>
    <row r="65" spans="1:15" x14ac:dyDescent="0.3">
      <c r="B65" s="47" t="s">
        <v>10</v>
      </c>
      <c r="C65" s="49">
        <v>1038500</v>
      </c>
      <c r="D65" s="62"/>
      <c r="E65" s="48"/>
      <c r="F65" s="48"/>
      <c r="G65" s="49"/>
      <c r="H65" s="49"/>
      <c r="I65" s="49"/>
      <c r="J65" s="48"/>
      <c r="K65" s="50"/>
      <c r="L65" s="50"/>
      <c r="M65" s="50"/>
      <c r="N65" s="50"/>
      <c r="O65" s="52"/>
    </row>
    <row r="66" spans="1:15" x14ac:dyDescent="0.3">
      <c r="B66" s="47" t="s">
        <v>77</v>
      </c>
      <c r="C66" s="49"/>
      <c r="D66" s="62"/>
      <c r="E66" s="48"/>
      <c r="F66" s="48"/>
      <c r="G66" s="49"/>
      <c r="H66" s="49"/>
      <c r="I66" s="49"/>
      <c r="J66" s="48"/>
      <c r="K66" s="50"/>
      <c r="L66" s="50"/>
      <c r="M66" s="50"/>
      <c r="N66" s="50"/>
      <c r="O66" s="52">
        <f t="shared" ref="O66:O67" si="10">SUM(C66:N66)</f>
        <v>0</v>
      </c>
    </row>
    <row r="67" spans="1:15" x14ac:dyDescent="0.3">
      <c r="B67" s="47" t="s">
        <v>80</v>
      </c>
      <c r="C67" s="49"/>
      <c r="D67" s="62"/>
      <c r="E67" s="48"/>
      <c r="F67" s="48"/>
      <c r="G67" s="49"/>
      <c r="H67" s="49"/>
      <c r="I67" s="49"/>
      <c r="J67" s="48"/>
      <c r="K67" s="50"/>
      <c r="L67" s="50"/>
      <c r="M67" s="50"/>
      <c r="N67" s="50"/>
      <c r="O67" s="52">
        <f t="shared" si="10"/>
        <v>0</v>
      </c>
    </row>
    <row r="68" spans="1:15" x14ac:dyDescent="0.3">
      <c r="B68" s="47" t="s">
        <v>78</v>
      </c>
      <c r="C68" s="49"/>
      <c r="D68" s="62"/>
      <c r="E68" s="48"/>
      <c r="F68" s="48"/>
      <c r="G68" s="49"/>
      <c r="H68" s="49"/>
      <c r="I68" s="49"/>
      <c r="J68" s="48"/>
      <c r="K68" s="50"/>
      <c r="L68" s="50"/>
      <c r="M68" s="50"/>
      <c r="N68" s="50"/>
      <c r="O68" s="52">
        <f t="shared" ref="O68" si="11">SUM(C68:N68)</f>
        <v>0</v>
      </c>
    </row>
    <row r="69" spans="1:15" x14ac:dyDescent="0.3">
      <c r="B69" s="47" t="s">
        <v>1</v>
      </c>
      <c r="C69" s="49">
        <v>620000</v>
      </c>
      <c r="D69" s="62"/>
      <c r="E69" s="48"/>
      <c r="F69" s="48"/>
      <c r="G69" s="49"/>
      <c r="H69" s="49"/>
      <c r="I69" s="49"/>
      <c r="J69" s="48"/>
      <c r="K69" s="50"/>
      <c r="L69" s="50"/>
      <c r="M69" s="50"/>
      <c r="N69" s="50"/>
      <c r="O69" s="52">
        <f t="shared" si="3"/>
        <v>620000</v>
      </c>
    </row>
    <row r="70" spans="1:15" x14ac:dyDescent="0.3">
      <c r="B70" s="47" t="s">
        <v>69</v>
      </c>
      <c r="C70" s="49">
        <v>65517.24</v>
      </c>
      <c r="D70" s="62"/>
      <c r="E70" s="48"/>
      <c r="F70" s="48"/>
      <c r="G70" s="49"/>
      <c r="H70" s="49"/>
      <c r="I70" s="49"/>
      <c r="J70" s="48"/>
      <c r="K70" s="50"/>
      <c r="L70" s="50"/>
      <c r="M70" s="50"/>
      <c r="N70" s="50"/>
      <c r="O70" s="52">
        <f t="shared" ref="O70" si="12">SUM(C70:N70)</f>
        <v>65517.24</v>
      </c>
    </row>
    <row r="71" spans="1:15" x14ac:dyDescent="0.3">
      <c r="B71" s="47" t="s">
        <v>79</v>
      </c>
      <c r="C71" s="49"/>
      <c r="D71" s="62"/>
      <c r="E71" s="48"/>
      <c r="F71" s="48"/>
      <c r="G71" s="49"/>
      <c r="H71" s="49"/>
      <c r="I71" s="49"/>
      <c r="J71" s="48"/>
      <c r="K71" s="50"/>
      <c r="L71" s="50"/>
      <c r="M71" s="50"/>
      <c r="N71" s="50"/>
      <c r="O71" s="52">
        <f t="shared" si="3"/>
        <v>0</v>
      </c>
    </row>
    <row r="72" spans="1:15" x14ac:dyDescent="0.3">
      <c r="B72" s="53" t="s">
        <v>41</v>
      </c>
      <c r="C72" s="54">
        <v>234890.72</v>
      </c>
      <c r="D72" s="55"/>
      <c r="E72" s="56"/>
      <c r="F72" s="56"/>
      <c r="G72" s="54"/>
      <c r="H72" s="54"/>
      <c r="I72" s="54"/>
      <c r="J72" s="56"/>
      <c r="K72" s="57"/>
      <c r="L72" s="57"/>
      <c r="M72" s="57"/>
      <c r="N72" s="57"/>
      <c r="O72" s="58">
        <f t="shared" si="3"/>
        <v>234890.72</v>
      </c>
    </row>
    <row r="73" spans="1:15" x14ac:dyDescent="0.3">
      <c r="A73" s="10" t="s">
        <v>95</v>
      </c>
      <c r="B73" s="42" t="s">
        <v>96</v>
      </c>
      <c r="C73" s="44"/>
      <c r="D73" s="61"/>
      <c r="E73" s="43"/>
      <c r="F73" s="43"/>
      <c r="G73" s="44"/>
      <c r="H73" s="44"/>
      <c r="I73" s="44"/>
      <c r="J73" s="43"/>
      <c r="K73" s="45"/>
      <c r="L73" s="45"/>
      <c r="M73" s="45"/>
      <c r="N73" s="45"/>
      <c r="O73" s="46">
        <f t="shared" ref="O73:O76" si="13">SUM(C73:N73)</f>
        <v>0</v>
      </c>
    </row>
    <row r="74" spans="1:15" x14ac:dyDescent="0.3">
      <c r="B74" s="47" t="s">
        <v>97</v>
      </c>
      <c r="C74" s="49"/>
      <c r="D74" s="62"/>
      <c r="E74" s="48"/>
      <c r="F74" s="48"/>
      <c r="G74" s="49"/>
      <c r="H74" s="49"/>
      <c r="I74" s="49"/>
      <c r="J74" s="48"/>
      <c r="K74" s="50"/>
      <c r="L74" s="50"/>
      <c r="M74" s="50"/>
      <c r="N74" s="50"/>
      <c r="O74" s="52">
        <f t="shared" si="13"/>
        <v>0</v>
      </c>
    </row>
    <row r="75" spans="1:15" x14ac:dyDescent="0.3">
      <c r="B75" s="47" t="s">
        <v>98</v>
      </c>
      <c r="C75" s="49"/>
      <c r="E75" s="48"/>
      <c r="F75" s="48"/>
      <c r="G75" s="49"/>
      <c r="H75" s="49"/>
      <c r="I75" s="49"/>
      <c r="J75" s="48"/>
      <c r="K75" s="50"/>
      <c r="L75" s="50"/>
      <c r="M75" s="50"/>
      <c r="N75" s="50"/>
      <c r="O75" s="52">
        <f t="shared" si="13"/>
        <v>0</v>
      </c>
    </row>
    <row r="76" spans="1:15" x14ac:dyDescent="0.3">
      <c r="B76" s="47" t="s">
        <v>2</v>
      </c>
      <c r="C76" s="49"/>
      <c r="D76" s="62"/>
      <c r="E76" s="48"/>
      <c r="F76" s="48"/>
      <c r="G76" s="49"/>
      <c r="H76" s="49"/>
      <c r="I76" s="49"/>
      <c r="J76" s="48"/>
      <c r="K76" s="50"/>
      <c r="L76" s="50"/>
      <c r="M76" s="50"/>
      <c r="N76" s="50"/>
      <c r="O76" s="52">
        <f t="shared" si="13"/>
        <v>0</v>
      </c>
    </row>
    <row r="77" spans="1:15" x14ac:dyDescent="0.3">
      <c r="B77" s="47" t="s">
        <v>43</v>
      </c>
      <c r="C77" s="49"/>
      <c r="D77" s="62"/>
      <c r="E77" s="48"/>
      <c r="F77" s="48"/>
      <c r="G77" s="49"/>
      <c r="H77" s="49"/>
      <c r="I77" s="49"/>
      <c r="J77" s="48"/>
      <c r="K77" s="50"/>
      <c r="L77" s="50"/>
      <c r="M77" s="50"/>
      <c r="N77" s="50"/>
      <c r="O77" s="52"/>
    </row>
    <row r="78" spans="1:15" x14ac:dyDescent="0.3">
      <c r="B78" s="47" t="s">
        <v>10</v>
      </c>
      <c r="C78" s="49"/>
      <c r="D78" s="62"/>
      <c r="E78" s="48"/>
      <c r="F78" s="48"/>
      <c r="G78" s="49"/>
      <c r="H78" s="49"/>
      <c r="I78" s="49"/>
      <c r="J78" s="48"/>
      <c r="K78" s="50"/>
      <c r="L78" s="50"/>
      <c r="M78" s="50"/>
      <c r="N78" s="50"/>
      <c r="O78" s="52"/>
    </row>
    <row r="79" spans="1:15" x14ac:dyDescent="0.3">
      <c r="B79" s="47" t="s">
        <v>103</v>
      </c>
      <c r="C79" s="49"/>
      <c r="D79" s="62"/>
      <c r="E79" s="48"/>
      <c r="F79" s="48"/>
      <c r="G79" s="49"/>
      <c r="H79" s="49"/>
      <c r="I79" s="49"/>
      <c r="J79" s="48"/>
      <c r="K79" s="50"/>
      <c r="L79" s="50"/>
      <c r="M79" s="50"/>
      <c r="N79" s="50"/>
      <c r="O79" s="52">
        <f t="shared" ref="O79:O89" si="14">SUM(C79:N79)</f>
        <v>0</v>
      </c>
    </row>
    <row r="80" spans="1:15" x14ac:dyDescent="0.3">
      <c r="B80" s="47" t="s">
        <v>1</v>
      </c>
      <c r="C80" s="49"/>
      <c r="D80" s="62"/>
      <c r="F80" s="48"/>
      <c r="G80" s="49"/>
      <c r="H80" s="49"/>
      <c r="I80" s="49"/>
      <c r="J80" s="48"/>
      <c r="K80" s="50"/>
      <c r="L80" s="50"/>
      <c r="M80" s="50"/>
      <c r="N80" s="50"/>
      <c r="O80" s="52">
        <f t="shared" si="14"/>
        <v>0</v>
      </c>
    </row>
    <row r="81" spans="1:15" x14ac:dyDescent="0.3">
      <c r="B81" s="47" t="s">
        <v>77</v>
      </c>
      <c r="C81" s="49"/>
      <c r="D81" s="62"/>
      <c r="E81" s="48"/>
      <c r="F81" s="48"/>
      <c r="G81" s="49"/>
      <c r="H81" s="49"/>
      <c r="I81" s="49"/>
      <c r="J81" s="48"/>
      <c r="K81" s="50"/>
      <c r="L81" s="50"/>
      <c r="M81" s="50"/>
      <c r="N81" s="50"/>
      <c r="O81" s="52">
        <f t="shared" ref="O81" si="15">SUM(C81:N81)</f>
        <v>0</v>
      </c>
    </row>
    <row r="82" spans="1:15" x14ac:dyDescent="0.3">
      <c r="B82" s="47" t="s">
        <v>80</v>
      </c>
      <c r="C82" s="49"/>
      <c r="D82" s="62"/>
      <c r="E82" s="48"/>
      <c r="F82" s="48"/>
      <c r="G82" s="49"/>
      <c r="H82" s="49"/>
      <c r="I82" s="49"/>
      <c r="J82" s="48"/>
      <c r="K82" s="50"/>
      <c r="L82" s="50"/>
      <c r="M82" s="50"/>
      <c r="N82" s="50"/>
      <c r="O82" s="52">
        <f t="shared" si="14"/>
        <v>0</v>
      </c>
    </row>
    <row r="83" spans="1:15" x14ac:dyDescent="0.3">
      <c r="B83" s="47" t="s">
        <v>78</v>
      </c>
      <c r="C83" s="49"/>
      <c r="D83" s="62"/>
      <c r="E83" s="48"/>
      <c r="F83" s="48"/>
      <c r="G83" s="49"/>
      <c r="H83" s="49"/>
      <c r="I83" s="49"/>
      <c r="J83" s="48"/>
      <c r="K83" s="50"/>
      <c r="L83" s="50"/>
      <c r="M83" s="50"/>
      <c r="N83" s="50"/>
      <c r="O83" s="52">
        <f t="shared" si="14"/>
        <v>0</v>
      </c>
    </row>
    <row r="84" spans="1:15" x14ac:dyDescent="0.3">
      <c r="B84" s="47" t="s">
        <v>99</v>
      </c>
      <c r="C84" s="49"/>
      <c r="D84" s="62"/>
      <c r="E84" s="48"/>
      <c r="F84" s="48"/>
      <c r="G84" s="49"/>
      <c r="H84" s="49"/>
      <c r="I84" s="49"/>
      <c r="J84" s="48"/>
      <c r="K84" s="50"/>
      <c r="L84" s="50"/>
      <c r="M84" s="50"/>
      <c r="N84" s="50"/>
      <c r="O84" s="52">
        <f t="shared" si="14"/>
        <v>0</v>
      </c>
    </row>
    <row r="85" spans="1:15" x14ac:dyDescent="0.3">
      <c r="B85" s="47" t="s">
        <v>35</v>
      </c>
      <c r="C85" s="49"/>
      <c r="D85" s="62"/>
      <c r="E85" s="48"/>
      <c r="F85" s="48"/>
      <c r="G85" s="49"/>
      <c r="H85" s="49"/>
      <c r="I85" s="49"/>
      <c r="J85" s="48"/>
      <c r="K85" s="50"/>
      <c r="L85" s="50"/>
      <c r="M85" s="50"/>
      <c r="N85" s="50"/>
      <c r="O85" s="52">
        <f t="shared" ref="O85" si="16">SUM(C85:N85)</f>
        <v>0</v>
      </c>
    </row>
    <row r="86" spans="1:15" x14ac:dyDescent="0.3">
      <c r="B86" s="47" t="s">
        <v>69</v>
      </c>
      <c r="C86" s="49"/>
      <c r="D86" s="62"/>
      <c r="E86" s="48"/>
      <c r="F86" s="48"/>
      <c r="G86" s="49"/>
      <c r="H86" s="49"/>
      <c r="I86" s="49"/>
      <c r="J86" s="48"/>
      <c r="K86" s="50"/>
      <c r="L86" s="50"/>
      <c r="M86" s="50"/>
      <c r="N86" s="50"/>
      <c r="O86" s="52">
        <f t="shared" si="14"/>
        <v>0</v>
      </c>
    </row>
    <row r="87" spans="1:15" x14ac:dyDescent="0.3">
      <c r="B87" s="47" t="s">
        <v>104</v>
      </c>
      <c r="C87" s="49"/>
      <c r="D87" s="62"/>
      <c r="E87" s="48"/>
      <c r="F87" s="48"/>
      <c r="G87" s="49"/>
      <c r="H87" s="49"/>
      <c r="I87" s="49"/>
      <c r="J87" s="48"/>
      <c r="K87" s="50"/>
      <c r="L87" s="50"/>
      <c r="M87" s="50"/>
      <c r="N87" s="50"/>
      <c r="O87" s="52">
        <f t="shared" ref="O87" si="17">SUM(C87:N87)</f>
        <v>0</v>
      </c>
    </row>
    <row r="88" spans="1:15" x14ac:dyDescent="0.3">
      <c r="B88" s="47" t="s">
        <v>79</v>
      </c>
      <c r="C88" s="49"/>
      <c r="D88" s="62"/>
      <c r="E88" s="48"/>
      <c r="F88" s="48"/>
      <c r="G88" s="49"/>
      <c r="H88" s="49"/>
      <c r="I88" s="49"/>
      <c r="J88" s="48"/>
      <c r="K88" s="50"/>
      <c r="L88" s="50"/>
      <c r="M88" s="50"/>
      <c r="N88" s="50"/>
      <c r="O88" s="52">
        <f t="shared" si="14"/>
        <v>0</v>
      </c>
    </row>
    <row r="89" spans="1:15" x14ac:dyDescent="0.3">
      <c r="B89" s="53" t="s">
        <v>41</v>
      </c>
      <c r="C89" s="54"/>
      <c r="D89" s="55"/>
      <c r="E89" s="56"/>
      <c r="F89" s="56"/>
      <c r="G89" s="54"/>
      <c r="H89" s="54"/>
      <c r="I89" s="54"/>
      <c r="J89" s="56"/>
      <c r="K89" s="57"/>
      <c r="L89" s="57"/>
      <c r="M89" s="57"/>
      <c r="N89" s="57"/>
      <c r="O89" s="58">
        <f t="shared" si="14"/>
        <v>0</v>
      </c>
    </row>
    <row r="90" spans="1:15" x14ac:dyDescent="0.3">
      <c r="A90" s="41" t="s">
        <v>67</v>
      </c>
      <c r="B90" s="42" t="s">
        <v>75</v>
      </c>
      <c r="C90" s="44">
        <v>11646523</v>
      </c>
      <c r="D90" s="65"/>
      <c r="E90" s="44"/>
      <c r="F90" s="44"/>
      <c r="G90" s="44"/>
      <c r="H90" s="44"/>
      <c r="I90" s="44"/>
      <c r="J90" s="44"/>
      <c r="K90" s="45"/>
      <c r="L90" s="45"/>
      <c r="M90" s="45"/>
      <c r="N90" s="45"/>
      <c r="O90" s="46">
        <f t="shared" si="3"/>
        <v>11646523</v>
      </c>
    </row>
    <row r="91" spans="1:15" x14ac:dyDescent="0.3">
      <c r="B91" s="47" t="s">
        <v>58</v>
      </c>
      <c r="C91" s="49">
        <v>1697779</v>
      </c>
      <c r="D91" s="63"/>
      <c r="E91" s="49"/>
      <c r="F91" s="49"/>
      <c r="G91" s="49"/>
      <c r="H91" s="49"/>
      <c r="I91" s="49"/>
      <c r="J91" s="49"/>
      <c r="K91" s="50"/>
      <c r="L91" s="50"/>
      <c r="M91" s="50"/>
      <c r="N91" s="50"/>
      <c r="O91" s="52">
        <f t="shared" si="3"/>
        <v>1697779</v>
      </c>
    </row>
    <row r="92" spans="1:15" x14ac:dyDescent="0.3">
      <c r="B92" s="47" t="s">
        <v>48</v>
      </c>
      <c r="C92" s="49">
        <v>126000</v>
      </c>
      <c r="D92" s="63"/>
      <c r="E92" s="49"/>
      <c r="F92" s="49"/>
      <c r="G92" s="49"/>
      <c r="H92" s="49"/>
      <c r="I92" s="49"/>
      <c r="J92" s="49"/>
      <c r="K92" s="50"/>
      <c r="L92" s="50"/>
      <c r="M92" s="49"/>
      <c r="N92" s="49"/>
      <c r="O92" s="52">
        <f t="shared" si="3"/>
        <v>126000</v>
      </c>
    </row>
    <row r="93" spans="1:15" x14ac:dyDescent="0.3">
      <c r="B93" s="47" t="s">
        <v>47</v>
      </c>
      <c r="C93" s="49">
        <v>3751809.58</v>
      </c>
      <c r="D93" s="63"/>
      <c r="E93" s="49"/>
      <c r="F93" s="49"/>
      <c r="G93" s="49"/>
      <c r="H93" s="49"/>
      <c r="I93" s="49"/>
      <c r="J93" s="49"/>
      <c r="K93" s="50"/>
      <c r="L93" s="50"/>
      <c r="M93" s="50"/>
      <c r="N93" s="50"/>
      <c r="O93" s="52">
        <f t="shared" si="3"/>
        <v>3751809.58</v>
      </c>
    </row>
    <row r="94" spans="1:15" x14ac:dyDescent="0.3">
      <c r="B94" s="47" t="s">
        <v>7</v>
      </c>
      <c r="C94" s="49"/>
      <c r="D94" s="63"/>
      <c r="E94" s="49"/>
      <c r="F94" s="49"/>
      <c r="G94" s="49"/>
      <c r="H94" s="49"/>
      <c r="I94" s="63"/>
      <c r="J94" s="63"/>
      <c r="K94" s="66"/>
      <c r="L94" s="50"/>
      <c r="M94" s="50"/>
      <c r="N94" s="50"/>
      <c r="O94" s="52">
        <f t="shared" si="3"/>
        <v>0</v>
      </c>
    </row>
    <row r="95" spans="1:15" x14ac:dyDescent="0.3">
      <c r="A95" s="10" t="s">
        <v>71</v>
      </c>
      <c r="B95" s="42" t="s">
        <v>41</v>
      </c>
      <c r="C95" s="44">
        <v>1345251.2</v>
      </c>
      <c r="D95" s="44"/>
      <c r="E95" s="44"/>
      <c r="F95" s="44"/>
      <c r="G95" s="44"/>
      <c r="H95" s="44"/>
      <c r="I95" s="44"/>
      <c r="J95" s="44"/>
      <c r="K95" s="45"/>
      <c r="L95" s="45"/>
      <c r="M95" s="45"/>
      <c r="N95" s="45"/>
      <c r="O95" s="46">
        <f t="shared" si="3"/>
        <v>1345251.2</v>
      </c>
    </row>
    <row r="96" spans="1:15" x14ac:dyDescent="0.3">
      <c r="A96" s="10"/>
      <c r="B96" s="53" t="s">
        <v>68</v>
      </c>
      <c r="C96" s="54"/>
      <c r="D96" s="54"/>
      <c r="E96" s="54"/>
      <c r="F96" s="54"/>
      <c r="G96" s="54"/>
      <c r="H96" s="54"/>
      <c r="I96" s="54"/>
      <c r="J96" s="54"/>
      <c r="K96" s="57"/>
      <c r="L96" s="57"/>
      <c r="M96" s="57"/>
      <c r="N96" s="57"/>
      <c r="O96" s="58">
        <f t="shared" si="3"/>
        <v>0</v>
      </c>
    </row>
    <row r="97" spans="1:16" x14ac:dyDescent="0.3">
      <c r="A97" s="41" t="s">
        <v>31</v>
      </c>
      <c r="B97" s="72" t="s">
        <v>51</v>
      </c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1">
        <f t="shared" si="3"/>
        <v>0</v>
      </c>
    </row>
    <row r="98" spans="1:16" x14ac:dyDescent="0.3">
      <c r="B98" s="53" t="s">
        <v>32</v>
      </c>
      <c r="C98" s="54"/>
      <c r="D98" s="54"/>
      <c r="E98" s="54"/>
      <c r="F98" s="54"/>
      <c r="G98" s="54"/>
      <c r="H98" s="54"/>
      <c r="I98" s="54"/>
      <c r="J98" s="67"/>
      <c r="K98" s="57"/>
      <c r="L98" s="54"/>
      <c r="M98" s="64"/>
      <c r="N98" s="64"/>
      <c r="O98" s="58">
        <f t="shared" si="3"/>
        <v>0</v>
      </c>
    </row>
    <row r="99" spans="1:16" x14ac:dyDescent="0.3">
      <c r="B99" s="12" t="s">
        <v>3</v>
      </c>
      <c r="C99" s="12">
        <f>SUM(C13:C98)</f>
        <v>143975760.60999998</v>
      </c>
      <c r="D99" s="12">
        <f>SUM(D13:D98)</f>
        <v>0</v>
      </c>
      <c r="E99" s="12">
        <f>SUM(E13:E98)</f>
        <v>0</v>
      </c>
      <c r="F99" s="12">
        <f>SUM(F13:F98)</f>
        <v>0</v>
      </c>
      <c r="G99" s="12">
        <f>SUM(G13:G98)</f>
        <v>0</v>
      </c>
      <c r="H99" s="12">
        <f>SUM(H13:H98)</f>
        <v>0</v>
      </c>
      <c r="I99" s="12">
        <f>SUM(I13:I98)</f>
        <v>0</v>
      </c>
      <c r="J99" s="12">
        <f>SUM(J13:J98)</f>
        <v>0</v>
      </c>
      <c r="K99" s="12">
        <f>SUM(K13:K98)</f>
        <v>0</v>
      </c>
      <c r="L99" s="12">
        <f>SUM(L13:L98)</f>
        <v>0</v>
      </c>
      <c r="M99" s="12">
        <f>SUM(M13:M98)</f>
        <v>0</v>
      </c>
      <c r="N99" s="12">
        <f>SUM(N13:N98)</f>
        <v>0</v>
      </c>
      <c r="O99" s="32">
        <f>SUM(O13:O98)</f>
        <v>141465665.36999997</v>
      </c>
    </row>
    <row r="100" spans="1:16" ht="16.2" x14ac:dyDescent="0.45">
      <c r="B100" s="3" t="s">
        <v>9</v>
      </c>
      <c r="C100" s="3"/>
      <c r="D100" s="3"/>
      <c r="E100" s="3"/>
      <c r="F100" s="3"/>
      <c r="G100" s="3"/>
      <c r="H100" s="3"/>
      <c r="I100" s="3"/>
      <c r="J100" s="3"/>
      <c r="K100" s="35"/>
      <c r="L100" s="3"/>
      <c r="M100" s="70"/>
      <c r="N100" s="69"/>
      <c r="O100" s="5"/>
    </row>
    <row r="101" spans="1:16" x14ac:dyDescent="0.3">
      <c r="B101" s="2" t="s">
        <v>38</v>
      </c>
      <c r="C101" s="28">
        <v>1658120.17</v>
      </c>
      <c r="D101" s="2"/>
      <c r="E101" s="2"/>
      <c r="F101" s="2"/>
      <c r="G101" s="28"/>
      <c r="H101" s="28"/>
      <c r="I101" s="28"/>
      <c r="J101" s="28"/>
      <c r="K101" s="31"/>
      <c r="L101" s="31"/>
      <c r="M101" s="31"/>
      <c r="N101" s="31"/>
      <c r="O101" s="5">
        <f t="shared" ref="O101:O116" si="18">SUM(C101:N101)</f>
        <v>1658120.17</v>
      </c>
    </row>
    <row r="102" spans="1:16" x14ac:dyDescent="0.3">
      <c r="B102" s="2" t="s">
        <v>40</v>
      </c>
      <c r="C102" s="28">
        <v>1073400</v>
      </c>
      <c r="D102" s="28"/>
      <c r="E102" s="28"/>
      <c r="F102" s="28"/>
      <c r="G102" s="28"/>
      <c r="H102" s="28"/>
      <c r="I102" s="28"/>
      <c r="J102" s="28"/>
      <c r="K102" s="31"/>
      <c r="L102" s="31"/>
      <c r="M102" s="31"/>
      <c r="N102" s="31"/>
      <c r="O102" s="5">
        <f t="shared" si="18"/>
        <v>1073400</v>
      </c>
    </row>
    <row r="103" spans="1:16" x14ac:dyDescent="0.3">
      <c r="B103" s="2" t="s">
        <v>46</v>
      </c>
      <c r="C103" s="28">
        <v>1020000</v>
      </c>
      <c r="D103" s="28"/>
      <c r="E103" s="28"/>
      <c r="F103" s="28"/>
      <c r="G103" s="28"/>
      <c r="H103" s="28"/>
      <c r="I103" s="28"/>
      <c r="J103" s="28"/>
      <c r="K103" s="31"/>
      <c r="L103" s="31"/>
      <c r="M103" s="31"/>
      <c r="N103" s="31"/>
      <c r="O103" s="5">
        <f t="shared" si="18"/>
        <v>1020000</v>
      </c>
    </row>
    <row r="104" spans="1:16" x14ac:dyDescent="0.3">
      <c r="B104" s="2" t="s">
        <v>33</v>
      </c>
      <c r="C104" s="28">
        <v>1331670</v>
      </c>
      <c r="D104" s="28"/>
      <c r="E104" s="28"/>
      <c r="F104" s="28"/>
      <c r="G104" s="28"/>
      <c r="H104" s="28"/>
      <c r="I104" s="28"/>
      <c r="J104" s="28"/>
      <c r="K104" s="31"/>
      <c r="L104" s="31"/>
      <c r="M104" s="31"/>
      <c r="N104" s="31"/>
      <c r="O104" s="5">
        <f t="shared" si="18"/>
        <v>1331670</v>
      </c>
    </row>
    <row r="105" spans="1:16" x14ac:dyDescent="0.3">
      <c r="B105" s="2" t="s">
        <v>10</v>
      </c>
      <c r="C105" s="28"/>
      <c r="D105" s="28"/>
      <c r="E105" s="28"/>
      <c r="F105" s="28"/>
      <c r="G105" s="28"/>
      <c r="H105" s="28"/>
      <c r="I105" s="28"/>
      <c r="J105" s="28"/>
      <c r="K105" s="31"/>
      <c r="L105" s="31"/>
      <c r="M105" s="31"/>
      <c r="N105" s="31"/>
      <c r="O105" s="5">
        <f t="shared" si="18"/>
        <v>0</v>
      </c>
    </row>
    <row r="106" spans="1:16" x14ac:dyDescent="0.3">
      <c r="A106" s="60"/>
      <c r="B106" s="48" t="s">
        <v>43</v>
      </c>
      <c r="C106" s="49">
        <v>12380.95</v>
      </c>
      <c r="D106" s="62"/>
      <c r="E106" s="48"/>
      <c r="F106" s="49"/>
      <c r="G106" s="49"/>
      <c r="H106" s="49"/>
      <c r="I106" s="49"/>
      <c r="J106" s="49"/>
      <c r="K106" s="50"/>
      <c r="L106" s="50"/>
      <c r="M106" s="50"/>
      <c r="N106" s="50"/>
      <c r="O106" s="37">
        <f t="shared" si="18"/>
        <v>12380.95</v>
      </c>
      <c r="P106" s="60"/>
    </row>
    <row r="107" spans="1:16" ht="15" customHeight="1" x14ac:dyDescent="0.3">
      <c r="B107" s="2" t="s">
        <v>8</v>
      </c>
      <c r="C107" s="28">
        <v>2636993</v>
      </c>
      <c r="D107" s="28"/>
      <c r="E107" s="28"/>
      <c r="F107" s="28"/>
      <c r="G107" s="28"/>
      <c r="H107" s="28"/>
      <c r="I107" s="28"/>
      <c r="J107" s="28"/>
      <c r="K107" s="31"/>
      <c r="L107" s="31"/>
      <c r="M107" s="31"/>
      <c r="N107" s="31"/>
      <c r="O107" s="5">
        <f t="shared" si="18"/>
        <v>2636993</v>
      </c>
    </row>
    <row r="108" spans="1:16" x14ac:dyDescent="0.3">
      <c r="B108" s="2" t="s">
        <v>11</v>
      </c>
      <c r="C108" s="28">
        <f>556752.97+476601.06</f>
        <v>1033354.03</v>
      </c>
      <c r="D108" s="28"/>
      <c r="E108" s="28"/>
      <c r="F108" s="28"/>
      <c r="G108" s="28"/>
      <c r="H108" s="28"/>
      <c r="I108" s="28"/>
      <c r="J108" s="28"/>
      <c r="K108" s="31"/>
      <c r="L108" s="31"/>
      <c r="M108" s="31"/>
      <c r="N108" s="25"/>
      <c r="O108" s="5">
        <f t="shared" si="18"/>
        <v>1033354.03</v>
      </c>
    </row>
    <row r="109" spans="1:16" x14ac:dyDescent="0.3">
      <c r="B109" s="2" t="s">
        <v>1</v>
      </c>
      <c r="C109" s="28">
        <v>410905.5</v>
      </c>
      <c r="D109" s="28"/>
      <c r="E109" s="28"/>
      <c r="F109" s="28"/>
      <c r="G109" s="28"/>
      <c r="H109" s="28"/>
      <c r="I109" s="28"/>
      <c r="J109" s="28"/>
      <c r="K109" s="31"/>
      <c r="L109" s="31"/>
      <c r="M109" s="31"/>
      <c r="N109" s="31"/>
      <c r="O109" s="5">
        <f t="shared" si="18"/>
        <v>410905.5</v>
      </c>
    </row>
    <row r="110" spans="1:16" x14ac:dyDescent="0.3">
      <c r="B110" s="2" t="s">
        <v>12</v>
      </c>
      <c r="C110" s="28">
        <f>5685349.89+1090689.66+475750</f>
        <v>7251789.5499999998</v>
      </c>
      <c r="D110" s="28"/>
      <c r="E110" s="28"/>
      <c r="F110" s="28"/>
      <c r="G110" s="28"/>
      <c r="H110" s="28"/>
      <c r="I110" s="28"/>
      <c r="J110" s="28"/>
      <c r="K110" s="31"/>
      <c r="L110" s="31"/>
      <c r="M110" s="31"/>
      <c r="N110" s="31"/>
      <c r="O110" s="5">
        <f t="shared" si="18"/>
        <v>7251789.5499999998</v>
      </c>
    </row>
    <row r="111" spans="1:16" x14ac:dyDescent="0.3">
      <c r="B111" s="2" t="s">
        <v>108</v>
      </c>
      <c r="C111" s="28"/>
      <c r="D111" s="28"/>
      <c r="E111" s="28"/>
      <c r="F111" s="28"/>
      <c r="G111" s="28"/>
      <c r="H111" s="28"/>
      <c r="I111" s="28"/>
      <c r="J111" s="28"/>
      <c r="K111" s="31"/>
      <c r="L111" s="31"/>
      <c r="M111" s="31"/>
      <c r="N111" s="25"/>
      <c r="O111" s="5">
        <f t="shared" si="18"/>
        <v>0</v>
      </c>
    </row>
    <row r="112" spans="1:16" x14ac:dyDescent="0.3">
      <c r="B112" s="2" t="s">
        <v>2</v>
      </c>
      <c r="C112" s="28">
        <v>43268.54</v>
      </c>
      <c r="D112" s="28"/>
      <c r="E112" s="28"/>
      <c r="F112" s="28"/>
      <c r="G112" s="28"/>
      <c r="H112" s="28"/>
      <c r="I112" s="28"/>
      <c r="J112" s="28"/>
      <c r="K112" s="31"/>
      <c r="L112" s="31"/>
      <c r="M112" s="31"/>
      <c r="N112" s="31"/>
      <c r="O112" s="5">
        <f t="shared" si="18"/>
        <v>43268.54</v>
      </c>
    </row>
    <row r="113" spans="2:21" x14ac:dyDescent="0.3">
      <c r="B113" s="2" t="s">
        <v>107</v>
      </c>
      <c r="C113" s="28"/>
      <c r="D113" s="28"/>
      <c r="E113" s="28"/>
      <c r="F113" s="28"/>
      <c r="G113" s="28"/>
      <c r="H113" s="28"/>
      <c r="I113" s="28"/>
      <c r="J113" s="28"/>
      <c r="K113" s="31"/>
      <c r="L113" s="31"/>
      <c r="M113" s="31"/>
      <c r="N113" s="31"/>
      <c r="O113" s="5">
        <f t="shared" si="18"/>
        <v>0</v>
      </c>
    </row>
    <row r="114" spans="2:21" x14ac:dyDescent="0.3">
      <c r="B114" s="2" t="s">
        <v>26</v>
      </c>
      <c r="C114" s="28">
        <f>2641000+18173422</f>
        <v>20814422</v>
      </c>
      <c r="D114" s="28"/>
      <c r="E114" s="28"/>
      <c r="F114" s="28"/>
      <c r="G114" s="28"/>
      <c r="H114" s="28"/>
      <c r="I114" s="28"/>
      <c r="J114" s="28"/>
      <c r="K114" s="31"/>
      <c r="L114" s="31"/>
      <c r="M114" s="31"/>
      <c r="N114" s="31"/>
      <c r="O114" s="5">
        <f t="shared" si="18"/>
        <v>20814422</v>
      </c>
    </row>
    <row r="115" spans="2:21" x14ac:dyDescent="0.3">
      <c r="B115" s="2" t="s">
        <v>34</v>
      </c>
      <c r="C115" s="28">
        <v>2692659</v>
      </c>
      <c r="D115" s="28"/>
      <c r="E115" s="28"/>
      <c r="F115" s="28"/>
      <c r="G115" s="28"/>
      <c r="H115" s="28"/>
      <c r="I115" s="28"/>
      <c r="J115" s="28"/>
      <c r="K115" s="31"/>
      <c r="L115" s="31"/>
      <c r="M115" s="31"/>
      <c r="N115" s="31"/>
      <c r="O115" s="5">
        <f t="shared" si="18"/>
        <v>2692659</v>
      </c>
    </row>
    <row r="116" spans="2:21" x14ac:dyDescent="0.3">
      <c r="B116" s="2" t="s">
        <v>39</v>
      </c>
      <c r="C116" s="28"/>
      <c r="D116" s="28"/>
      <c r="E116" s="25"/>
      <c r="F116" s="2"/>
      <c r="G116" s="28"/>
      <c r="H116" s="28"/>
      <c r="I116" s="28"/>
      <c r="J116" s="28"/>
      <c r="K116" s="31"/>
      <c r="L116" s="31"/>
      <c r="M116" s="31"/>
      <c r="N116" s="25"/>
      <c r="O116" s="5">
        <f t="shared" si="18"/>
        <v>0</v>
      </c>
    </row>
    <row r="117" spans="2:21" x14ac:dyDescent="0.3">
      <c r="B117" s="2" t="s">
        <v>37</v>
      </c>
      <c r="C117" s="28"/>
      <c r="D117" s="28"/>
      <c r="E117" s="25"/>
      <c r="F117" s="2"/>
      <c r="G117" s="28"/>
      <c r="H117" s="28"/>
      <c r="I117" s="28"/>
      <c r="J117" s="28"/>
      <c r="K117" s="31"/>
      <c r="L117" s="31"/>
      <c r="M117" s="31"/>
      <c r="N117" s="25"/>
      <c r="O117" s="5">
        <f>SUM(C117:N117)</f>
        <v>0</v>
      </c>
    </row>
    <row r="118" spans="2:21" x14ac:dyDescent="0.3">
      <c r="B118" s="2" t="s">
        <v>53</v>
      </c>
      <c r="C118" s="28"/>
      <c r="D118" s="28"/>
      <c r="E118" s="25"/>
      <c r="F118" s="28"/>
      <c r="G118" s="28"/>
      <c r="H118" s="28"/>
      <c r="I118" s="28"/>
      <c r="J118" s="28"/>
      <c r="K118" s="31"/>
      <c r="L118" s="31"/>
      <c r="M118" s="31"/>
      <c r="N118" s="25"/>
      <c r="O118" s="5">
        <f>SUM(C118:N118)</f>
        <v>0</v>
      </c>
    </row>
    <row r="119" spans="2:21" x14ac:dyDescent="0.3">
      <c r="B119" s="2" t="s">
        <v>13</v>
      </c>
      <c r="C119" s="28">
        <f>51593.32+64426.75+73659.49+1326114.1+27775.86+9000</f>
        <v>1552569.5200000003</v>
      </c>
      <c r="D119" s="25"/>
      <c r="E119" s="25"/>
      <c r="F119" s="28"/>
      <c r="G119" s="28"/>
      <c r="H119" s="28"/>
      <c r="I119" s="28"/>
      <c r="J119" s="28"/>
      <c r="K119" s="31"/>
      <c r="L119" s="31"/>
      <c r="M119" s="31"/>
      <c r="N119" s="31"/>
      <c r="O119" s="5">
        <f>SUM(C119:N119)</f>
        <v>1552569.5200000003</v>
      </c>
    </row>
    <row r="120" spans="2:21" x14ac:dyDescent="0.3">
      <c r="B120" s="12" t="s">
        <v>3</v>
      </c>
      <c r="C120" s="12">
        <f>SUM(C101:C119)</f>
        <v>41531532.259999998</v>
      </c>
      <c r="D120" s="12">
        <f>SUM(D101:D119)</f>
        <v>0</v>
      </c>
      <c r="E120" s="12">
        <f>SUM(E101:E119)</f>
        <v>0</v>
      </c>
      <c r="F120" s="12">
        <f>SUM(F101:F119)</f>
        <v>0</v>
      </c>
      <c r="G120" s="12">
        <f>SUM(G101:G119)</f>
        <v>0</v>
      </c>
      <c r="H120" s="12">
        <f>SUM(H101:H119)</f>
        <v>0</v>
      </c>
      <c r="I120" s="12">
        <f>SUM(I101:I119)</f>
        <v>0</v>
      </c>
      <c r="J120" s="12">
        <f>SUM(J101:J119)</f>
        <v>0</v>
      </c>
      <c r="K120" s="12">
        <f>SUM(K101:K119)</f>
        <v>0</v>
      </c>
      <c r="L120" s="12">
        <f>SUM(L101:L119)</f>
        <v>0</v>
      </c>
      <c r="M120" s="12">
        <f>SUM(M101:M119)</f>
        <v>0</v>
      </c>
      <c r="N120" s="12">
        <f>SUM(N101:N119)</f>
        <v>0</v>
      </c>
      <c r="O120" s="12">
        <f>SUM(O101:O119)</f>
        <v>41531532.259999998</v>
      </c>
    </row>
    <row r="121" spans="2:21" x14ac:dyDescent="0.3">
      <c r="B121" s="4"/>
      <c r="C121" s="4"/>
      <c r="D121" s="4"/>
      <c r="E121" s="17"/>
      <c r="F121" s="17"/>
      <c r="G121" s="17"/>
      <c r="H121" s="4"/>
      <c r="I121" s="4"/>
      <c r="J121" s="17"/>
      <c r="K121" s="4"/>
      <c r="L121" s="4"/>
      <c r="M121" s="23"/>
      <c r="N121" s="21"/>
      <c r="O121" s="4"/>
    </row>
    <row r="122" spans="2:21" s="18" customFormat="1" x14ac:dyDescent="0.3">
      <c r="B122" s="17" t="s">
        <v>45</v>
      </c>
      <c r="C122" s="17">
        <v>12724.24</v>
      </c>
      <c r="D122" s="17">
        <v>739123.8</v>
      </c>
      <c r="E122" s="17">
        <v>784343.18</v>
      </c>
      <c r="F122" s="17">
        <v>417825.13</v>
      </c>
      <c r="G122" s="17"/>
      <c r="H122" s="17"/>
      <c r="I122" s="17"/>
      <c r="J122" s="17"/>
      <c r="K122" s="17"/>
      <c r="L122" s="17"/>
      <c r="M122" s="17"/>
      <c r="N122" s="17"/>
      <c r="O122" s="5">
        <f>SUM(C122:N122)</f>
        <v>1954016.35</v>
      </c>
      <c r="U122" s="18">
        <f>U120-U121</f>
        <v>0</v>
      </c>
    </row>
    <row r="123" spans="2:21" s="18" customFormat="1" x14ac:dyDescent="0.3">
      <c r="B123" s="17" t="s">
        <v>42</v>
      </c>
      <c r="C123" s="17">
        <v>3470277.94</v>
      </c>
      <c r="D123" s="17">
        <v>11369601.16</v>
      </c>
      <c r="E123" s="17">
        <v>44050276.25</v>
      </c>
      <c r="F123" s="17">
        <v>71185587.859999999</v>
      </c>
      <c r="G123" s="17"/>
      <c r="H123" s="17"/>
      <c r="I123" s="17"/>
      <c r="J123" s="17"/>
      <c r="K123" s="17"/>
      <c r="L123" s="17"/>
      <c r="M123" s="17"/>
      <c r="N123" s="17"/>
      <c r="O123" s="5">
        <f>SUM(C123:N123)</f>
        <v>130075743.21000001</v>
      </c>
    </row>
    <row r="124" spans="2:21" s="18" customFormat="1" x14ac:dyDescent="0.3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5"/>
    </row>
    <row r="125" spans="2:21" s="18" customFormat="1" x14ac:dyDescent="0.3">
      <c r="B125" s="17" t="s">
        <v>44</v>
      </c>
      <c r="C125" s="17">
        <v>5140221.34</v>
      </c>
      <c r="D125" s="17">
        <v>977612.27</v>
      </c>
      <c r="E125" s="17">
        <v>345811.76</v>
      </c>
      <c r="F125" s="17">
        <v>239685.44</v>
      </c>
      <c r="G125" s="17"/>
      <c r="H125" s="17"/>
      <c r="I125" s="17"/>
      <c r="J125" s="17"/>
      <c r="K125" s="17"/>
      <c r="L125" s="17"/>
      <c r="M125" s="17"/>
      <c r="N125" s="17"/>
      <c r="O125" s="5">
        <f>SUM(C125:N125)</f>
        <v>6703330.8099999996</v>
      </c>
    </row>
    <row r="126" spans="2:21" s="18" customFormat="1" x14ac:dyDescent="0.3">
      <c r="B126" s="17" t="s">
        <v>52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5">
        <f t="shared" ref="O126" si="19">SUM(C126:N126)</f>
        <v>0</v>
      </c>
    </row>
    <row r="127" spans="2:21" s="18" customFormat="1" x14ac:dyDescent="0.3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5"/>
    </row>
    <row r="128" spans="2:21" x14ac:dyDescent="0.3">
      <c r="B128" s="2"/>
      <c r="I128" s="17"/>
    </row>
    <row r="129" spans="1:18" x14ac:dyDescent="0.3">
      <c r="B129" s="2" t="s">
        <v>29</v>
      </c>
      <c r="C129" s="16">
        <f>C11-C99-C120+C122-C123+C125-C126</f>
        <v>231374460.24000004</v>
      </c>
      <c r="D129" s="16">
        <f>D11-D99-D120+D122-D123+D125-D126</f>
        <v>-9652865.0899999999</v>
      </c>
      <c r="E129" s="16">
        <f>E11-E99-E120+E122-E123+E125-E126</f>
        <v>-42920121.310000002</v>
      </c>
      <c r="F129" s="16">
        <f>F11-F99-F120+F122-F123+F125-F126</f>
        <v>-70528077.290000007</v>
      </c>
      <c r="G129" s="16">
        <f>G11-G99-G120+G122-G123+G125-G126</f>
        <v>0</v>
      </c>
      <c r="H129" s="16">
        <f>H11-H99-H120+H122-H123+H125-H126</f>
        <v>0</v>
      </c>
      <c r="I129" s="16">
        <f>I11-I99-I120+I122-I123+I125-I126</f>
        <v>0</v>
      </c>
      <c r="J129" s="16">
        <f>J11-J99-J120+J122-J123+J125-J126</f>
        <v>0</v>
      </c>
      <c r="K129" s="16">
        <f>K11-K99-K120+K122-K123+K125-K126</f>
        <v>0</v>
      </c>
      <c r="L129" s="16">
        <f>L11-L99-L120+L122-L123+L125-L126</f>
        <v>0</v>
      </c>
      <c r="M129" s="16">
        <f>M11-M99-M120+M122-M123+M125-M126</f>
        <v>0</v>
      </c>
      <c r="N129" s="16">
        <f>N11-N99-N120+N122-N123+N125+N126</f>
        <v>0</v>
      </c>
      <c r="O129" s="10">
        <f>O11-O99-O120+O122-O123+O126+O125</f>
        <v>110783491.79000002</v>
      </c>
    </row>
    <row r="130" spans="1:18" x14ac:dyDescent="0.3">
      <c r="B130" s="2" t="s">
        <v>30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24"/>
      <c r="N130" s="24"/>
      <c r="O130" s="10">
        <v>0</v>
      </c>
      <c r="P130" s="30"/>
      <c r="Q130" s="34">
        <f>O130/O11</f>
        <v>0</v>
      </c>
    </row>
    <row r="132" spans="1:18" s="10" customForma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"/>
      <c r="N132" s="22"/>
      <c r="O132" s="27">
        <f>O131/485</f>
        <v>0</v>
      </c>
    </row>
    <row r="134" spans="1:18" x14ac:dyDescent="0.3">
      <c r="Q134" s="1" t="s">
        <v>72</v>
      </c>
      <c r="R134" s="1">
        <v>698493142.29999995</v>
      </c>
    </row>
    <row r="135" spans="1:18" x14ac:dyDescent="0.3">
      <c r="Q135" s="1" t="s">
        <v>62</v>
      </c>
      <c r="R135" s="1">
        <v>461431691.08999997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Actual numbers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Sulpak123</dc:creator>
  <cp:lastModifiedBy>Aliya Akhatova</cp:lastModifiedBy>
  <dcterms:created xsi:type="dcterms:W3CDTF">2015-02-07T14:56:09Z</dcterms:created>
  <dcterms:modified xsi:type="dcterms:W3CDTF">2026-07-03T13:29:43Z</dcterms:modified>
</cp:coreProperties>
</file>